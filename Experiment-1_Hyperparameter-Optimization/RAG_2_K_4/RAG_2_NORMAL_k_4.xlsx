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<sst xmlns="http://schemas.openxmlformats.org/spreadsheetml/2006/main" count="3482" uniqueCount="459">
  <si>
    <t>SUMMARY RESULT BETWEEN TEST</t>
  </si>
  <si>
    <t>Temp</t>
  </si>
  <si>
    <t>Topp</t>
  </si>
  <si>
    <t>Parameters</t>
  </si>
  <si>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</si>
  <si>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</si>
  <si>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</si>
  <si>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</si>
  <si>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</si>
  <si>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</si>
  <si>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</si>
  <si>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</si>
  <si>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</si>
  <si>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</si>
  <si>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</si>
  <si>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</si>
  <si>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</si>
  <si>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</si>
  <si>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</si>
  <si>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</si>
  <si>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</si>
  <si>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</si>
  <si>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</si>
  <si>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</si>
  <si>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</si>
  <si>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</si>
  <si>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</si>
  <si>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</si>
  <si>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</si>
  <si>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</si>
  <si>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</si>
  <si>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</si>
  <si>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</si>
  <si>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</si>
  <si>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</si>
  <si>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</si>
  <si>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</si>
  <si>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</si>
  <si>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</si>
  <si>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</si>
  <si>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</si>
  <si>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</si>
  <si>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</si>
  <si>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was previously administered as premedication. This is a common scenario where an opioid antagonist is used to treat opioid-induced side effects such as nausea and pain."</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</si>
  <si>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</si>
  <si>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</si>
  <si>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</si>
  <si>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</si>
  <si>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</si>
  <si>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</si>
  <si>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</si>
  <si>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</si>
  <si>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</si>
  <si>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</si>
  <si>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predictor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</si>
  <si>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</si>
  <si>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</si>
  <si>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</si>
  <si>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</si>
  <si>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added to the fresh gas flow. The vaporizer adds 40 mL/min of sevoflurane to the gas mixture. The fresh gas flow is 5 L/min. The anesthetic concentration is calculated as (40 mL/min) / (5 L/min) = 0.8%. Since the question asks for the concentration in percent, we need to convert this to a percentage. 0.8%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</si>
  <si>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</si>
  <si>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</si>
  <si>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</si>
  <si>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</si>
  <si>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this patient with mild hypothermia, as it helps to reduce heat loss through radiation and conduction."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</si>
  <si>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</si>
  <si>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</si>
  <si>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</si>
  <si>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</si>
  <si>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sedation, the patient may still be sedated for a longer period of time.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</si>
  <si>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</si>
  <si>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</si>
  <si>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</si>
  <si>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</si>
  <si>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in determining the extent of spread of local anesthetic following subarachnoid block with hyperbaric bupivacaine, as it directly affects the amount of anesthetic solution that spreads within the epidural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</si>
  <si>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</si>
  <si>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</si>
  <si>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</si>
  <si>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</si>
  <si>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"While breathing 100% O2, the patient's SpO2 is 80%, indicating hypoxemia. The most appropriate management is to provide positive-pressure ventilation to improve oxygenation and alleviate hypoxia."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</si>
  <si>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</si>
  <si>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</si>
  <si>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</si>
  <si>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</si>
  <si>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sudden onset of nausea, diaphoresis, and sharp pain in the left shoulder, which is not typical of inadequate spinal sensory level. Bladder perforation is a possible cause of sudden onset of symptoms, and it is the most likely cause in this scenario."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</si>
  <si>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</si>
  <si>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</si>
  <si>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</si>
  <si>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</si>
  <si>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of the lungs. This is the most likely cause of the decrease in SpO2, as the patient's FiO2 is 0.3 and all ventilator settings have been constant."</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</si>
  <si>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</si>
  <si>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</si>
  <si>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</si>
  <si>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</si>
  <si>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According to the context, alveolar hypoventilation is a common cause of postoperative hypoxemia, and it can lead to a corresponding increase in arterial partial pressure of carbon dioxide (PaCO2)."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</si>
  <si>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</si>
  <si>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</si>
  <si>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</si>
  <si>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</si>
  <si>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help them breathe more effectively."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</si>
  <si>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</si>
  <si>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</si>
  <si>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</si>
  <si>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</si>
  <si>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from 60 bpm to 120 bpm, the increased metabolic demand of the myocardium needs to be satisfied. Increased coronary perfusion pressure would help to increase the delivery of oxygen and nutrients to the myocardium, thereby meeting the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</si>
  <si>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</si>
  <si>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</si>
  <si>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</si>
  <si>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</si>
  <si>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</si>
  <si>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</si>
  <si>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</si>
  <si>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</si>
  <si>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</si>
  <si>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This minimizes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</si>
  <si>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</si>
  <si>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</si>
  <si>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</si>
  <si>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</si>
  <si>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patient end, allowing for more efficient scavenging of waste gases and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</si>
  <si>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</si>
  <si>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</si>
  <si>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</si>
  <si>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</si>
  <si>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a sudden drop in CO2 levels between point A and point B due to the patient's dependent lung being compressed, leading to decreased ventilation and perfusion."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</si>
  <si>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</si>
  <si>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</si>
  <si>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</si>
  <si>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</si>
  <si>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a rash with penicillin administration, and cefazolin is a penicillin-like antibiotic, which may cause an allergic reaction. The patient should receive a stress dose of hydrocortisone to manage potential anaphylaxis."</t>
  </si>
  <si>
    <t>Which of the following factors DECREASES the MAC of isoflurane?</t>
  </si>
  <si>
    <t>A. Acute cocaine intoxication</t>
  </si>
  <si>
    <t>B. Chronic ethanol abuse</t>
  </si>
  <si>
    <t>C. Symptomatic hyponatremia</t>
  </si>
  <si>
    <t>{   "Answer": "C",   "Explain": "Hyponatremia decreases MAC, as stated in the context, making it a correct answer."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</si>
  <si>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</si>
  <si>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</si>
  <si>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</si>
  <si>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</si>
  <si>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</si>
  <si>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</si>
  <si>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</si>
  <si>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</si>
  <si>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</si>
  <si>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</si>
  <si>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</si>
  <si>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</si>
  <si>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</si>
  <si>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</si>
  <si>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</si>
  <si>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</si>
  <si>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</si>
  <si>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</si>
  <si>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</si>
  <si>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making it the most likely anesthetic drug to be associated with this outcome." }</t>
  </si>
  <si>
    <t>Which of the following drugs does NOT cause enhanced activity of the GABA receptor?</t>
  </si>
  <si>
    <t>B. Ketamine</t>
  </si>
  <si>
    <t>{   "Answer": "B",   "Explain": "Ketamine does not cause enhanced activity of the GABA receptor, unlike etomidate and propofol, which are both known to have GABAergic properties." }</t>
  </si>
  <si>
    <t>Which of the following components is MISPLACED in the circle system shown in the above illustration?</t>
  </si>
  <si>
    <t>A. Fresh gas inlet</t>
  </si>
  <si>
    <t>B. CO2 absorber</t>
  </si>
  <si>
    <t>C. Expiratory valve</t>
  </si>
  <si>
    <t>{   "Answer": "B",   "Explain": "The CO2 absorber is misplaced in the circle system because it is supposed to be between the expiratory valve and the patient, but in the given illustration, it is not in that position."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</si>
  <si>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</si>
  <si>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</si>
  <si>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</si>
  <si>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</si>
  <si>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suggests that the anesthetic is not being retained in the bloodstream, but is being distributed throughout the body. This is more likely to occur with a drug that has low plasma protein binding, as it can easily dissociate from proteins and spread throughout the body."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</si>
  <si>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</si>
  <si>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</si>
  <si>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</si>
  <si>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</si>
  <si>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</si>
  <si>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</si>
  <si>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</si>
  <si>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</si>
  <si>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</si>
  <si>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innervating the vocal cords and providing sensation to the trachea." }</t>
  </si>
  <si>
    <t>Gagging that occurs during awake intubation is BEST prevented by local anesthetic block of which of the following nerves?</t>
  </si>
  <si>
    <t>A. Superior laryngeal</t>
  </si>
  <si>
    <t>B. Glossopharyngeal</t>
  </si>
  <si>
    <t>C. Hypoglossal</t>
  </si>
  <si>
    <t>{   "Answer": "A",   "Explain": "To prevent gagging during awake intubation, local anesthetic block of the superior laryngeal nerve is recommended,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</si>
  <si>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</si>
  <si>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</si>
  <si>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</si>
  <si>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</si>
  <si>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because it disrupts the body's natural ability to conserve heat through vasoconstriction, leading to a rapid loss of heat from the core to the periphery."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</si>
  <si>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</si>
  <si>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</si>
  <si>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</si>
  <si>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</si>
  <si>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is due to a lack of oxygen in the inspired gas, which is consistent with decreased FRC (functional residual capacity)."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</si>
  <si>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</si>
  <si>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</si>
  <si>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</si>
  <si>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</si>
  <si>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axillary nerve is not blocked. Therefore, an additional block of the intercostobrachial nerve is the most appropriate next step to ensure adequate anesthesia for the procedure." }</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</si>
  <si>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</si>
  <si>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</si>
  <si>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</si>
  <si>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</si>
  <si>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rapidly redistributes from its initial site of action in the brain and other organs to inactive tissue sites, leading to a decrease in its concentration in the CNS and a subsequent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</si>
  <si>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</si>
  <si>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</si>
  <si>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</si>
  <si>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</si>
  <si>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is the most likely cause of a decrease in the O2 analyzer reading from 50% to 30%. This is because oxygen escapes through the leak, resulting in a decrease in the inspired oxygen concentration, which is then detected by the O2 analyzer."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</si>
  <si>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</si>
  <si>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</si>
  <si>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</si>
  <si>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</si>
  <si>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</si>
  <si>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</si>
  <si>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</si>
  <si>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</si>
  <si>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</si>
  <si>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compared to morphine is due to its rapid redistribution to inactive tissue sites, leading to a rapid decrease in plasma concentration, which is a characteristic of its shorter elimination half-life."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</si>
  <si>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</si>
  <si>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</si>
  <si>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</si>
  <si>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</si>
  <si>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observations. It represents the amount of uncertainty or variability in the sample mean, and it is used to construct confidence intervals and perform hypothesis testing." }</t>
  </si>
  <si>
    <t>Pulse oximetry accurately reflects SaO2 in which of the following situations?</t>
  </si>
  <si>
    <t>A. Administration of indocyanine green</t>
  </si>
  <si>
    <t>B. Carboxyhemoglobinemia</t>
  </si>
  <si>
    <t>C. 40% fetal hemoglobin concentration</t>
  </si>
  <si>
    <t>{   "Answer": "A",   "Explain": "Pulse oximetry accurately reflects SaO2 in normal individuals under experimental conditions with SaO2 as low as 70%."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</si>
  <si>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</si>
  <si>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</si>
  <si>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</si>
  <si>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</si>
  <si>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 is receiving a 4-hour general anesthetic, which is unlikely to cause significant changes in blood glucose levels. The patient's fasting blood glucose level is 100 mg/dL, which is not significantly elevated. Therefore, it is most likely that the patient's blood glucose level on emergence will be mildly elevated, but not significantly so." }</t>
  </si>
  <si>
    <t>Which of the following drugs INCREASES gastric pH while decreasing gastric volume?</t>
  </si>
  <si>
    <t>A. Glycopyrrolate</t>
  </si>
  <si>
    <t>B. Metoclopramide</t>
  </si>
  <si>
    <t>C. Ranitidine</t>
  </si>
  <si>
    <t>{   "Answer": "C",   "Explain": "Ranitidine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</si>
  <si>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</si>
  <si>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</si>
  <si>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</si>
  <si>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</si>
  <si>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requires less time for its alveolar and inspired concentrations to equilibrate. This is because a lower solubility in blood results in a smaller pharmacologically inactive reservoir, allowing for faster equilibration between the gas phase and the blood."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</si>
  <si>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</si>
  <si>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</si>
  <si>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</si>
  <si>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</si>
  <si>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while apneic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</si>
  <si>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</si>
  <si>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</si>
  <si>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</si>
  <si>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</si>
  <si>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whereas aphonia characterizes bilateral nerve injury."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</si>
  <si>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</si>
  <si>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</si>
  <si>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</si>
  <si>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</si>
  <si>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45 mmHg because the body's tissues are still consuming oxygen, and the increased O2 in the lungs is not being fully utilized, resulting in a decreased mixed venous O2 tension." }</t>
  </si>
  <si>
    <t>Which of the following drugs has the SHORTEST elimination half-life?</t>
  </si>
  <si>
    <t>B. Lorazepam</t>
  </si>
  <si>
    <t>C. Midazolam</t>
  </si>
  <si>
    <t>{   "Answer": "A",   "Explain": "According to the context,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</si>
  <si>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</si>
  <si>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</si>
  <si>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</si>
  <si>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</si>
  <si>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</si>
  <si>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was previously administered as premedication. This is a common scenario where an opioid antagonist is used to treat opioid-related side effects such as nausea and vomiting."</t>
  </si>
  <si>
    <t>{   "Answer": "A",   "Explain": "Flumazenil has low affinity for benzodiazepine receptors, which means it does not have a prolonged duration of action, unlike midazolam. Therefore, the patient should remain hospitalized for observation to ensure the sedation is fully reversed and the patient is safe to be sent home." }</t>
  </si>
  <si>
    <t>{   "Answer": "B",   "Explain": "The patient is experiencing postobstructive pulmonary edema due to laryngospasm, which has resolved. Furosemide is the most appropriate management strategy to treat the resulting pulmonary edema, as it can help reduce fluid overload and improve oxygenation." }</t>
  </si>
  <si>
    <t>{   "Answer": "B",   "Explain": "The patient developed sudden onset of nausea, diaphoresis, and sharp pain in the left shoulder, which is consistent with the symptoms of TURP syndrome. This syndrome is caused by absorption of large volumes of hypotonic irrigation solutions during TURP, leading to hyponatremia, overhydration, and edema. The symptoms typically occur within 15-24 hours after the onset of resection, which is consistent with the 45-minute time frame in this case."</t>
  </si>
  <si>
    <t>{   "Answer": "C",   "Explain": "The patient's SpO2 decreased from 99% to 90% and the partial pressure of ETCO2 increased from 38 to 43 mmHg. This suggests that the patient's lungs are not being ventilated properly, which is consistent with right mainstem endobronchial intubation." }</t>
  </si>
  <si>
    <t>{   "Answer": "B",   "Explain": "The patient is receiving IV PCA with morphine, which can cause hypoventilation, and she has a history of obesity, which is also a contributing factor to hypoventilation. Additionally, the patient's SpO2 is 90% on room air, indicating mild hypoxemia, which is consistent with hypoventilation as the most likely cause." }</t>
  </si>
  <si>
    <t>{   "Answer": "B",   "Explain":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</si>
  <si>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   "Answer": "C",   "Explain": "The patient is in the lateral position, which can cause a sudden drop in CO2 due to changes in lung volume and perfusion, resulting in a waveform like the one shown between points A and B." }</t>
  </si>
  <si>
    <t>{   "Answer": "B",   "Explain": "Ketamine does not cause enhanced activity of the GABA receptor, unlike etomidate and propofol." }</t>
  </si>
  <si>
    <t>{   "Answer": "B",   "Explain": "The CO2 absorber is misplaced in the circle system because it is supposed to be between the expiratory valve and the patient, but in the given illustration, it is not shown in that position." }</t>
  </si>
  <si>
    <t>{   "Answer": "C",   "Explain": "Ranitidine increases gastric pH while decreasing gastric volume in pregnant women approximately one hour after administration without producing adverse effects." }</t>
  </si>
  <si>
    <t>{   "Answer": "A",   "Explain": "After breathing 100% O2 for 10 minutes, the mixed venous O2 tension is expected to be 45 mmHg because the body's tissues are still consuming oxygen, and the increased O2 in the lungs is not being fully utilized, resulting in a lower O2 tension in the blood."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</si>
  <si>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</si>
  <si>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</si>
  <si>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was given as premedication. The patient's sudden development of right upper quadrant abdominal pain and nausea suggests that the morphine may have caused an adverse reaction, and naloxone can help to counteract this effect." }</t>
  </si>
  <si>
    <t>{   "Answer": "B",   "Explain": "To find the delivered anesthetic concentration, we need to calculate the volume of anesthetic added to the fresh gas flow. The vaporizer adds 150 mmHg of anesthetic vapor to the gas mixture, and the fresh gas flow is 5 L/min. Since the anesthetic vapor is added to the gas mixture at a rate of 100 mL/min, we can set up a proportion to find the volume of anesthetic added: (x mL/min anesthetic) / 21% = (150 mL/min oxygen) / 79%. Solving for x, we get x = 40 mL/min anesthetic. Since the fresh gas flow is 5 L/min, the delivered anesthetic concentration is 40 mL/min / 5 L/min = 0.5%."</t>
  </si>
  <si>
    <t>{   "Answer": "C",   "Explain": "Vasoconstriction is the most effective physiologic mechanism for maintaining body temperature in this patient because it helps to reduce heat loss through radiation and conduction, thereby conserving body heat and maintaining a stable body temperature." }</t>
  </si>
  <si>
    <t>{   "Answer": "B",   "Explain": "The patient is experiencing postobstructive pulmonary edema due to laryngospasm, which has already been resolved. Furosemide is the most appropriate management strategy to treat the resulting pulmonary edema, as it can help to reduce fluid overload and improve oxygenation." }</t>
  </si>
  <si>
    <t>{   "Answer": "B",   "Explain": "The patient suddenly developed nausea, diaphoresis, and sharp pain in the left shoulder, which is a classic presentation of TURP syndrome. This syndrome is caused by absorption of large volumes of hypotonic irrigation solutions during TURP, leading to hyponatremia, overhydration, and edema. The symptoms typically occur within 15-24 hours after the onset of resection, which is consistent with the 45-minute time frame in this case."</t>
  </si>
  <si>
    <t>{   "Answer": "B",   "Explain": "The patient's SpO2 is 90% on room air, indicating that she is not severely hypoxemic. The text states that atelectasis and alveolar hypoventilation are the most common causes of postoperative hypoxemia, and that hypoventilation alone can cause arterial hypoxemia in a patient breathing room air. Therefore, the most likely cause of her hypoxemia is hypoventilation."</t>
  </si>
  <si>
    <t>{   "Answer": "A",   "Explain": "In pressure support ventilation, pressure support breaths are triggered by a decrease in airway pressure, which means that when the patient's inspiratory efforts decrease, the ventilator provides additional pressure to help them breathe more effectively." }</t>
  </si>
  <si>
    <t>{   "Answer": B,   "Explain": "ECG synchronization is the best strategy to prevent ventricular dysrhythmias in a patient undergoing extracorporeal shock wave lithotripsy because it ensures that the shock waves are delivered during the refractory period of the heart muscle, minimizing the risk of cardiac dysrhythmias." }</t>
  </si>
  <si>
    <t>{   "Answer": "A",   "Explain": "Compared to a semiclosed circle system, a Bain circuit exhibits less rebreathing of CO2 because the fresh gas supply tube enters the circuit near the patient end, allowing for a more direct delivery of fresh gas to the patient and reducing the amount of rebreathing." }</t>
  </si>
  <si>
    <t>{   "Answer": "C",   "Explain": "The patient is in the lateral position, which can cause a sudden drop in CO2 levels between point A and point B due to the patient's body position affecting lung ventilation and perfusion." }</t>
  </si>
  <si>
    <t>{   "Answer": "B",   "Explain": "The anesthesiologist should administer hydrocortisone, followed by cefazolin, as the patient has a history of a rash with penicillin administration, and cefazolin is a penicillin-like antibiotic, which may cause an allergic reaction. The patient should receive a stress dose of hydrocortisone to treat potential adrenal insufficiency."</t>
  </si>
  <si>
    <t>{   "Answer": "B",   "Explain": "Chronic ethanol abuse decreases the MAC of isoflurane, as mentioned in the context." }</t>
  </si>
  <si>
    <t>{   "Answer": "C",   "Explain": "Hyperthermia causes a rightward shift in the oxyhemoglobin dissociation curve because increased body temperature increases the affinity of hemoglobin for oxygen, making it more difficult for oxygen to be released to tissues." }</t>
  </si>
  <si>
    <t>{   "Answer": "C",   "Explain": "A large volume of distribution suggests that the anesthetic is not being retained in the bloodstream, but is instead being distributed throughout the body. This is consistent with a low plasma protein binding property, as the drug is not being bound to proteins in the plasma, allowing it to be distributed more freely throughout the body." }</t>
  </si>
  <si>
    <t>{   "Answer": "B",   "Explain": "Rocuronium's elimination half-life is increased in renal failure due to an increase in volume of distribution with no change in clearance, making it the drug with the longest duration of action in patients with renal failure." }</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</si>
  <si>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</si>
  <si>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   "Answer": "C",   "Explain": "The patient has complete anesthesia in the median, radial, and ulnar nerve distributions after a supraclavicular block, which suggests that the musculocutaneous nerve is not blocked. Therefore, an additional block of the musculocutaneous nerve is the most appropriate next step." }</t>
  </si>
  <si>
    <t>{   "Answer": "A",   "Explain": "After a single dose of propofol, emergence is primarily due to redistribution, as the drug rapidly redistributes from its site of action in the brain to inactive tissue sites, leading to a decrease in its concentration in the CNS and a subsequent decrease in its anesthetic effects." }</t>
  </si>
  <si>
    <t>{   "Answer": "A",   "Explain": "A leak in the ventilator bellows is the most likely cause of a decrease in the O2 analyzer reading from 50% to 30%. This is because oxygen escapes through the leak, resulting in a decrease in the inspired oxygen concentration." }</t>
  </si>
  <si>
    <t>{   "Answer": "A",   "Explain": "After an induction dose of ketamine, patients appear to be in a cataleptic state with intense analgesia and amnesia, despite appearing to be awake, which is characterized by eyes remaining open with a slow nystagmic gaze, maintenance of cough, swallow, and corneal reflexes, and moderate dilation of the pupils." }</t>
  </si>
  <si>
    <t>{   "Answer": "A",   "Explain": "The standard error of the mean shows the precision of the population mean, which is the expected value of the sample mean if the sample were repeated many times. It is a measure of the amount of random variation in the sample mean, and is used to construct confidence intervals and perform hypothesis testing." }</t>
  </si>
  <si>
    <t>{   "Answer": "B",   "Explain": "The patient is receiving a 4-hour general anesthetic, which is unlikely to cause a significant drop in blood glucose levels. The patient's fasting blood glucose level is 100 mg/dL, which is not significantly elevated. Therefore, it is most likely that the patient's blood glucose level on emergence will be mildly elevated, but not to a level that would cause hypoglycemia or marked hyperglycemia."</t>
  </si>
  <si>
    <t>{   "Answer": "C",   "Explain": "Nitrous oxide has a lower blood gas solubility compared to desflurane, which means that it requires less time for its alveolar and inspired concentrations to equilibrate. This is because less nitrous oxide needs to be dissolved in the blood before it can reach equilibrium with the gas phase, resulting in a faster equilibration rate."</t>
  </si>
  <si>
    <t>{   "Answer": "B",   "Explain": "Preoxygenation increases the patient's reserve of oxygen by filling the functional residual capacity with oxygen, thus increasing the patient's reserve of oxygen while apneic." }</t>
  </si>
  <si>
    <t>{   "Answer": "B",   "Explain": "A 32-year-old woman sustains an injury to the left recurrent laryngeal nerve during thyroidectomy, which is likely to cause hoarseness or aphonia, but not adduction of the left vocal cord at rest." }</t>
  </si>
  <si>
    <t>{   "Answer": "A",   "Explain": "After breathing 100% O2 for 10 minutes, the mixed venous O2 tension is expected to be 45 mmHg because the body has adapted to the increased oxygen levels by increasing oxygen consumption and reducing oxygen delivery to the tissues, resulting in a decrease in mixed venous O2 tension."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</si>
  <si>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</si>
  <si>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</si>
  <si>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</si>
  <si>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</si>
  <si>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</si>
  <si>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developed right upper quadrant abdominal pain and nausea after receiving morphine and midazolam, which suggests opioid-induced side effects. Naloxone is the most appropriate therapy to reverse these effects, as it is an opioid antagonist that can counteract the actions of morphine and other opioids." }</t>
  </si>
  <si>
    <t>{   "Answer": "C",   "Explain": "The caffeine-halothane contracture test has the highest sensitivity and specificity for MH, making it the most reliable predictor of the likelihood of developing malignant hyperthermia." }</t>
  </si>
  <si>
    <t>{   "Answer": "B",   "Explain": "To find the delivered anesthetic concentration, we need to calculate the volume of anesthetic added to the fresh gas flow. The vaporizer adds 150 mmHg of anesthetic vapor to the gas mixture, and the fresh gas flow is 5 L/min. Since the anesthetic vapor is added to the oxygen flow, we can set up a proportion to find the volume of anesthetic added: (x mL/min sevoflurane) / 21% = (150 mL/min oxygen) / 79%. Solving for x, we get x = 40 mL/min sevoflurane. Since the total fresh gas flow is 5 L/min, the delivered anesthetic concentration is 40 mL/min / 5 L/min = 0.5%."</t>
  </si>
  <si>
    <t>{   "Answer": "C",   "Explain": "Vasoconstriction is the most effective physiologic mechanism for maintaining body temperature in an adult patient with mild hypothermia anesthetized with 1 MAC of isoflurane, as it helps to reduce heat loss through radiation, convection, and conduction, thereby conserving body heat." }</t>
  </si>
  <si>
    <t>{   "Answer": "A",   "Explain": "Although the endoscopist asks to send the patient home in 1 hour, the patient should remain hospitalized for observation because flumazenil has a shorter duration of action compared to midazolam, and the patient may still be sedated after 1 hour." }</t>
  </si>
  <si>
    <t>{   "Answer": "C",   "Explain": "The total dose of drug is the most important factor in determining the extent of spread of local anesthetic following subarachnoid block with hyperbaric bupivacaine, as it directly affects the amount of anesthetic solution distributed throughout the cerebrospinal fluid." }</t>
  </si>
  <si>
    <t>{   "Answer": "B",   "Explain": "The patient has developed pulmonary edema after resolution of postoperative laryngospasm, which is a common cause of postobstructive pulmonary edema. Furosemide is a diuretic that can help reduce fluid overload and alleviate symptoms of pulmonary edema." }</t>
  </si>
  <si>
    <t>{   "Answer": "B",   "Explain": "The patient suddenly developed nausea, diaphoresis, and sharp pain in the left shoulder, which is a classic presentation of TURP syndrome. This syndrome is caused by absorption of large volumes of hypotonic irrigation solutions during TURP, leading to hyponatremia, overhydration, and edema. The symptoms typically occur within 15-24 hours after the onset of resection, which matches the 45-minute time frame in this case." }</t>
  </si>
  <si>
    <t>{   "Answer": "C",   "Explain": "Since the patient's SpO2 decreased from 99% to 90% and the partial pressure of ETCO2 increased from 38 to 43 mmHg, and all ventilator settings have been constant, the most likely cause of the decrease in SpO2 is right mainstem endobronchial intubation, which would lead to the patient's lungs not being ventilated properly." }</t>
  </si>
  <si>
    <t>{   "Answer": "B",   "Explain": "The patient's SpO2 is 90% on room air, indicating that she is experiencing hypoxemia. The text states that atelectasis and alveolar hypoventilation are the most common causes of postoperative hypoxemia in the immediate postoperative period. Since the patient is receiving IV PCA with morphine, which can cause respiratory depression, and has a history of obesity, which can also contribute to hypoventilation, the most likely cause of her hypoxemia is hypoventilation."</t>
  </si>
  <si>
    <t>{   "Answer": "A",   "Explain": "In pressure support ventilation, pressure support breaths are triggered by a decrease in airway pressure, which means that the ventilator senses a drop in airway pressure and provides a set amount of pressure to help the patient breathe." }</t>
  </si>
  <si>
    <t>{   "Answer": "B",   "Explain": "To satisfy the increased metabolic demand of the myocardium, the increased heart rate needs to be accompanied by an increase in coronary perfusion pressure to ensure adequate oxygen delivery to the heart." }</t>
  </si>
  <si>
    <t>{   "Answer": "B",   "Explain": "Prothrombin time (PT) is a laboratory test that measures the time it takes for a blood clot to form, and is a more sensitive indicator of liver synthetic function than albumin levels. It is also used to monitor for restoration of hepatic function, often improving before other clinical signs of improvement occur." }</t>
  </si>
  <si>
    <t>{   "Answer": "A",   "Explain": "Compared to a semiclosed circle system, a Bain circuit exhibits less rebreathing of CO2 because the fresh gas supply tube enters the circuit near the patient end, allowing for more efficient removal of exhaled gases and reduced rebreathing." }</t>
  </si>
  <si>
    <t>{   "Answer": "C",   "Explain": "The patient is in the lateral position, which can cause a sudden drop in CO2 levels due to the shift of the diaphragm, leading to a decrease in tidal volume and an increase in the slope of the capnogram between points A and B." }</t>
  </si>
  <si>
    <t>{   "Answer": "B",   "Explain": "The anesthesiologist should administer hydrocortisone, followed by cefazolin, as the patient has a history of rash with penicillin administration, and hydrocortisone is recommended as a stress dose perioperatively to treat anaphylaxis."</t>
  </si>
  <si>
    <t>{   "Answer": "B",   "Explain": "Chronic ethanol abuse decreases the MAC of isoflurane." }</t>
  </si>
  <si>
    <t>{   "Answer": "A",   "Explain": "Blockade of norepinephrine release is the primary toxic effect of bupivacaine on the cardiovascular system, which can lead to a decrease in blood pressure and cardiac output." }</t>
  </si>
  <si>
    <t>{   "Answer": "B",   "Explain": "In patients with clinical hypothyroidism, there is a decrease in myocardial contractility, leading to a decrease in cardiac output and peripheral circulation." }</t>
  </si>
  <si>
    <t>{   "Answer": "A",   "Explain": "Etomidate is most likely to be associated with longer seizure duration when used for electroconvulsive therapy because it does not cause dose-related seizure inhibition during ECT, as demonstrated by studies comparing it to methohexital and propofol." }</t>
  </si>
  <si>
    <t>{   "Answer": "B",   "Explain": "Ketamine does not cause enhanced activity of the GABA receptor, whereas etomidate and propofol do." }</t>
  </si>
  <si>
    <t>{   "Answer": "B",   "Explain": "The CO2 absorber is misplaced in the description of the circle system. According to the text, the correct arrangement of components in a circle system is: 'a unidirectional valve must be located between the patient and the reservoir bag on both the inspiratory and expiratory limbs'."</t>
  </si>
  <si>
    <t>{   "Answer": "C",   "Explain": "A large volume of distribution suggests that the anesthetic is not being removed from the bloodstream quickly, which means it is not being bound to plasma proteins. A low plasma protein binding rate would allow the anesthetic to distribute more widely throughout the body, resulting in a larger volume of distribution." }</t>
  </si>
  <si>
    <t>{   "Answer": "C",   "Explain": "Instillation of local anesthetic into the trachea via the cricothyroid membrane is most likely to block the Recurrent Laryngeal Nerve, which innervates the vocal cords and is responsible for sensation in the trachea." }</t>
  </si>
  <si>
    <t>{   "Answer": "A",   "Explain": "The superior laryngeal nerve block is the best way to prevent gagging during awake intubation as it provides sensory input from the lower pharynx and the upper part of the larynx, including the glottic surface of the epiglottis and the aryepiglottic folds." }</t>
  </si>
  <si>
    <t>{   "Answer": "A",   "Explain": "Ablation of thermoregulatory vasoconstriction is the most likely explanation for the initial reduction in core temperature during general anesthesia because it is a well-known phenomenon that general anesthesia disrupts the normal thermoregulatory mechanisms, leading to a decrease in vasoconstriction and subsequent heat loss." }</t>
  </si>
  <si>
    <t>{   "Answer": "C",   "Explain": "The patient has complete anesthesia in the median, radial, and ulnar nerve distributions after a supraclavicular block, which blocks the brachial plexus. To address the remaining sensory deficit, an additional block of the musculocutaneous nerve is necessary." }</t>
  </si>
  <si>
    <t>{   "Answer": "A",   "Explain": "After a single dose of propofol, emergence is primarily due to redistribution, as the drug rapidly distributes from the brain and other tissues to inactive sites in the body, leading to a decrease in its concentration in the CNS and a subsequent recovery from anesthesia." }</t>
  </si>
  <si>
    <t>{   "Answer": "A",   "Explain": "A leak in the ventilator bellows is the most likely cause of a decrease in the O2 analyzer reading from 50% to 30%. This is because oxygen escapes through the leak, resulting in a lower inspired oxygen concentration, which is detected by the O2 analyzer." }</t>
  </si>
  <si>
    <t>{   "Answer": "A",   "Explain": "After an induction dose of ketamine, patients appear to be in a cataleptic state with eyes remaining open, slow nystagmic gaze, and moderate dilation of the pupils, which indicates intense analgesia and amnesia." }</t>
  </si>
  <si>
    <t>{   "Answer": "C",   "Explain": "Fentanyl's shorter duration of action compared to morphine is due to its rapid redistribution to inactive tissue sites, leading to a rapid decrease in plasma concentration, rather than its metabolism or elimination half-life." }</t>
  </si>
  <si>
    <t>{   "Answer": "A",   "Explain": "The standard error of the mean shows the precision of the population mean, which is the average of a large number of measurements. It is a measure of the amount of random variation in the sample mean, and it is used to construct confidence intervals and perform hypothesis tests." }</t>
  </si>
  <si>
    <t>{   "Answer": "B",   "Explain": "Pulse oximetry does not accurately reflect SaO2 in the presence of carboxyhemoglobinemia because carboxyhemoglobin (COHb) absorbs light in a way that can be mistaken for oxygen saturation, leading to inaccurate readings." }</t>
  </si>
  <si>
    <t>{   "Answer": "B",   "Explain": "A patient with a fasting blood glucose of 100 mg/dL is already at a relatively normal level. The patient is receiving a 4-hour general anesthetic, which is unlikely to cause a significant change in blood glucose levels. Therefore, it is most likely that the patient's blood glucose level will remain mildly elevated, but not significantly so, upon emergence." }</t>
  </si>
  <si>
    <t>{   "Answer": "C",   "Explain": "Nitrous oxide has a lower blood gas solubility compared to desflurane, which means that it does not need to be dissolved in the blood as much before equilibrating with the gas phase. This results in a faster equilibration of alveolar and inspired concentrations of nitrous oxide compared to desflurane." }</t>
  </si>
  <si>
    <t>{   "Answer": A,   "Explain": "Preoxygenation increases the duration of apnea without oxygen desaturation by filling the functional residual capacity with oxygen, thus increasing the patient's reserve of oxygen while apneic, which is the primary purpose of denitrogenation prior to anesthetic induction." }</t>
  </si>
  <si>
    <t>{   "Answer": "A",   "Explain": "After breathing 100% O2 for 10 minutes, the mixed venous O2 tension is expected to be 45 mmHg because the body has adapted to the increased oxygen levels by increasing oxygen delivery to the tissues, resulting in a decrease in mixed venous O2 tension." }</t>
  </si>
  <si>
    <t>{   "Answer": "A",   "Explain": "According to the provided context, flumazenil has a very rapid clearance and short elimination half-life, making it the shortest-lived of all benzodiazepines used in anesthetic practice, with a plasma half-life of about 1 hour."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</si>
  <si>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</si>
  <si>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</si>
  <si>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F</t>
  </si>
  <si>
    <t>{     "Answer": "F",     "Explain": "For an operation at the medial aspect of the lower leg, the femoral nerve should most likely be blocked because it provides innervation to the medial leg and can be easily accessed via local infiltration or nerve block at the adductor canal, above the medial femoral condyle, or below the medial malleolus of the foot."</t>
  </si>
  <si>
    <t>{   "Answer": C,   "Explain": "Naloxone is the most appropriate therapy for this patient's pain as it is an opioid antagonist that can reverse the effect of the morphine premedication and counteract the patient's symptoms of right upper quadrant abdominal pain and nausea." }</t>
  </si>
  <si>
    <t>{   "Answer": "B",   "Explain": "Normal saline is the most appropriate initial management for a 68-year-old woman with primary hyperparathyroidism and a serum calcium concentration of 15 mg/dL, as vigorous expansion of intravascular volume usually reduces serum calcium to a safe level (&lt;14 mg/dL) in emergency situations." }</t>
  </si>
  <si>
    <t>{   "Answer": "C",   "Explain": "The caffeine-halothane contracture test is considered the most reliable predictor of malignant hyperthermia, with the highest sensitivity and specificity due to its ability to test for isometric contracture in response to exposure to caffeine and halothane or both." }</t>
  </si>
  <si>
    <t>{   "Answer": B,   "Explain": "First, we need to find out how much sevoflurane is added to the fresh gas flow. With a vapor pressure of 150 mmHg, 100 mL/min of O2 is bubbled through the vaporizer, and this mixture is added to a fresh gas flow of 5 L/min. This means that 150 mL/min of oxygen is added to the vaporizer. Solve for x in the proportion (x mL/min sevoflurane) / 21% = (150 mL/min oxygen) / 79%, and we get x = 40 mL/min. Then, we need to find the delivered anesthetic concentration. Since the vaporizer is delivering 40 mL/min of sevoflurane and a fresh gas flow of 5 L/min, the sevoflurane concentration is 40 mL/min / (150 mL/min + 5 L/min) * 100% = 0.5%." }</t>
  </si>
  <si>
    <t>{   "Answer": C,   "Explain": "Vasoconstriction is the most effective physiologic mechanism for maintaining body temperature in this patient with mild hypothermia. Under anesthesia, the body's ability to shiver is impaired, and shivering thermogenesis is not a viable option. Vasoconstriction, on the other hand, helps to reduce heat loss by convection and radiation, making it the most effective mechanism to maintain body temperature in this scenario." }</t>
  </si>
  <si>
    <t>{   "Answer": "C",   "Explain": "The patient should remain hospitalized for observation because the midazolam may take more than an hour to wear off, as it has a longer duration of action compared to flumazenil, and the patient may still feel effects hours after initial administration." }</t>
  </si>
  <si>
    <t>{   "Answer": "C",   "Explain": "According to the context, the total dose of drug, which is directly related to the volume and concentration of the local anesthetic, exerts the greatest effect on the extent of spread of local anesthetic following subarachnoid block with hyperbaric bupivacaine."</t>
  </si>
  <si>
    <t>{   "Answer": "B",   "Explain": "While breathing 100% O2, the 17-year-old boy is experiencing pulmonary edema after resolution of postoperative laryngospasm. Given the high possibility of postobstructive pulmonary edema, the most appropriate management is to administer furosemide to reduce fluid accumulation and edema, rather than albuterol or positive-pressure ventilation." }</t>
  </si>
  <si>
    <t>{       "Answer": "B",       "Explain": "The sudden onset of nausea, diaphoresis, and sharp pain in the left shoulder suggests the most likely cause is bladder perforation, which is a severe complication of TURP procedure. This option is more likely given the symptoms and timing of the event."</t>
  </si>
  <si>
    <t>{   "Answer": "C",   "Explain": "Right mainstem endobronchial intubation is the most likely cause of the decrease in SpO2, as the partial pressure of ETCO2 increased from 38 to 43 mmHg, indicating that CO2-rich blood is not being vented out properly, and the oxygen saturation decreased from 99% to 90%. This is consistent with the idea that the endotracheal tube is not properly in the trachea, and instead, the tube is in the right mainstem bronchus, allowing CO2-rich blood to accumulate in the lungs and reducing oxygenation."</t>
  </si>
  <si>
    <t>{ "Answer": "B", "Explain": "Two hours after a laparoscopic cholecystectomy, the patient's SpO2 is 90% on room air, indicating mild hypoxemia. According to the text, postoperative hypoxemia in the PACU is most commonly caused by atelectasis and alveolar hypoventilation. Since there is no mention of atelectasis, alveolar hypoventilation is the most likely cause of the patient's hypoxemia."</t>
  </si>
  <si>
    <t>{   "Answer": "A",   "Explain": "In pressure support ventilation, the ventilator does not deliver a preset tidal volume but instead relies on the patient's intrinsic respiratory drive. The ventilator provides a set amount of pressure support, and the amount of pressure support is triggered by a decrease in airway pressure, allowing the patient to breathe normally." }</t>
  </si>
  <si>
    <t>{   "Answer": "B",   "Explain": "Increased coronary perfusion pressure is most likely to satisfy the increased metabolic demand of the myocardium during tachycardia, as it ensures a sufficient delivery of oxygen-rich blood to meet the increased energy needs of the heart." }</t>
  </si>
  <si>
    <t>{   "Answer": "B",   "Explain": "Since liver synthesizes coagulation factors in great excess, the prothrombin time (PT) will remain normal until significant hepatic impairment occurs, making it the best indicator of adequate synthetic hepatic function." }</t>
  </si>
  <si>
    <t>{   "Answer": "B",   "Explain": "43. Shock waves in ESWL are timed with the patient's heart rate and are triggered by the R wave on the patient's electrocardiogram. The shock waves are subsequently delivered during the refractory period of the heart muscle, thus minimizing the risk of cardiac dysrhythmias, which makes ECG synchronization the best strategy to prevent ventricular dysrhythmias." }</t>
  </si>
  <si>
    <t>{   "Answer": "A",   "Explain": "Compared to a semiclosed circle system, a Bain circuit exhibits less rebreathing of CO2 because the fresh gas supply tube runs coaxially inside the corrugated expiratory tubing and actually delivers the fresh gas at the patient end of the circuit, reducing the amount of rebreached gases."</t>
  </si>
  <si>
    <t>{   "Answer": "C",   "Explain": "The capnograph waveform shows a sudden drop in CO2 concentration, which is not related to excessive tidal volume or incompetent expiratory valve. This suggests that the patient's position may be related to the finding, as the lateral position may cause a redistribution of ventilation-perfusion mismatch, leading to changes in end-tidal CO2 levels." }</t>
  </si>
  <si>
    <t>{   "Answer": "B",   "Explain": "Because the patient developed a rash with past penicillin administration, the anesthesiologist should administer hydrocortisone, followed by cefazolin, as a stress dose corticosteroid to help treat histamine-induced reactions and an allergic response to the medication."</t>
  </si>
  <si>
    <t>{   "Answer": A,   "Explain": "Acute cocaine intoxication decreases the MAC of isoflurane by interacting with its mechanism of action, allowing for a faster and deeper level of anesthesia." }</t>
  </si>
  <si>
    <t>{   "Answer": "A",   "Explain": "The primary toxic effect of bupivacaine on the cardiovascular system is its blockade of norepinephrine release, leading to decreased cardiac contractility and peripheral resistance." }</t>
  </si>
  <si>
    <t>{   "Answer": "C",   "Explain": "Hyperthermia causes an increase in temperature, which shifts the oxyhemoglobin dissociation curve to the right." }</t>
  </si>
  <si>
    <t>{ "Answer": "B", "Explain": "Clinical hypothyroidism is characterized by decreased synthesis of thyroxine, leading to decreased cardiac contractility, which is a hallmark feature of the condition. As a result, myocardial contractility is decreased, making option B the most likely answer." }</t>
  </si>
  <si>
    <t>{   "Answer": "A",   "Explain": "According to the context, etomidate is associated with longer seizures in response to ECT. In contrast, methohexital and propofol are shown to have a shorter duration of seizures."</t>
  </si>
  <si>
    <t>{   "Answer": B,   "Explain": "Ketamine does not have a direct effect on GABA receptors, whereas etomidate and propofol both interact with the GABA receptor complex, enhancing its activity." }</t>
  </si>
  <si>
    <t>{   "Answer": "B",   "Explain": "The CO2 absorber is misplaced in the circle system because it should be placed between the expiratory valve and the fresh gas inlet, not between the fresh gas inlet and the patient." }</t>
  </si>
  <si>
    <t>{   "Answer": "C",   "Explain": "A large volume of distribution is often associated with low plasma protein binding, allowing the anesthetic to distribute more freely throughout the body." }</t>
  </si>
  <si>
    <t>{   "Answer": "A",   "Explain": "Neostigmine has the longest duration of action in patients with renal failure because its elimination half-life is not significantly affected, unlike other muscle relaxants which may be prolonged due to increased volume of distribution and decreased clearance in patients with renal failure." }</t>
  </si>
  <si>
    <t>{   "Answer": "A",   "Explain": "Instillation of local anesthetic into the trachea via the cricothyroid membrane will most likely block the hypoglossal nerve, which is located superior to the cricothyroid membrane." }</t>
  </si>
  <si>
    <t>{   "Answer": "A",   "Explain": "Gagging during awake intubation is best prevented by local anesthetic block of the superior laryngeal nerve, which supplies sensory innervation to the lower pharynx and upper part of the larynx, including the glottic surface of the epiglottis and the aryepiglottic folds."</t>
  </si>
  <si>
    <t>{   "Answer": "A",   "Explain": "Ablation of thermoregulatory vasoconstriction is the most likely explanation for the initial reduction in core temperature during general anesthesia as it disrupts the body's natural mechanisms to retain heat, allowing heat to escape and body temperature to drop." }</t>
  </si>
  <si>
    <t>{   "Answer": "A",   "Explain": "Step-by-step explanation: The patient's SpO2 initially decreased to 84% when the FiO2 was 0.5, and then improved to 92% when it was increased to 1.0. This is a strong indication that the primary cause of hypoxemia is related to the fraction of inspired oxygen. Therefore, the most likely cause is reduced inspired oxygen delivery due to decreased FRC, which is choice A."</t>
  </si>
  <si>
    <t>{   "Answer": "B",   "Explain": "The patient is experiencing complete anesthesia in the median, radial, and ulnar nerve distributions, suggesting that the blockade is extensive and affects multiple nerves. Since the additional block would need to cover a broader territory to provide adequate pain relief, the intercostobrachial nerve, which supplies cutaneous innervation to the medial upper arm, is the most likely target for an additional block." }</t>
  </si>
  <si>
    <t>{   "Answer": "A",   "Explain": "Emergence after a single dose of propofol is primarily caused by redistribution of the drug from its inactive tissue sites to the CNS." }</t>
  </si>
  <si>
    <t>{ "Answer": "A", "Explain": "After 30 minutes of stable anesthesia, a decrease in the O2 analyzer reading from 50% to 30% suggests a significant amount of oxygen has escaped the anesthesia circuit. This is most likely caused by a leak in the ventilator bellows (A), which would allow nitrous oxide to mix with the oxygen-rich gas, reducing the inspired oxygen concentration." }</t>
  </si>
  <si>
    <t>{   "Answer": "A",   "Explain": "After an induction dose of ketamine the patient appears to be in a cataleptic state with intense analgesia and amnesia, despite seeming to be awake." }</t>
  </si>
  <si>
    <t>{   "Answer": "C",   "Explain": "The shorter duration of action of fentanyl compared to morphine is due to its rapid redistribution to inactive tissue sites, leading to a rapid decrease in plasma concentration, which is reflected in its shorter elimination half-life." }</t>
  </si>
  <si>
    <t>{   "Answer": A,   "Explain": "The standard error of the mean shows the precision of the sample mean as an estimate of the population mean. It represents the amount of uncertainty associated with the sample mean, indicating how far away the sample mean is likely to be from the true population mean." }</t>
  </si>
  <si>
    <t>{   "Answer": "A",   "Explain": "Pulse oximetry accurately reflects SaO2 because its calibration is based on curves obtained in normal individuals under experimental conditions with SaO2 as low as 70%." }</t>
  </si>
  <si>
    <t>{     "Answer": "B",     "Explain": "The patient's fasting blood glucose level is 100 mg/dL, and they are receiving a 4-hour general anesthetic, which generally does not cause significant changes in blood glucose levels. Therefore, mild hyperglycemia is the most likely expected outcome on emergence."</t>
  </si>
  <si>
    <t>{   "Answer": "C",   "Explain": "Nitrous oxide has a lower blood gas solubility compared to desflurane, which means that a smaller amount of nitrous oxide is dissolved in the blood during inhalation. As a result, alveolar and inspired concentrations of nitrous oxide equilibrate more rapidly because less nitrous oxide is removed from the alveoli during uptake into the blood." }</t>
  </si>
  <si>
    <t>{   "Answer": C,   "Explain": "Preoxygenation aim is to increase the patient's reserve of oxygen while apneic by filling the functional residual capacity with oxygen, thus increasing arterial O2 content, to increase the duration of apnea without oxygen desaturation." }</t>
  </si>
  <si>
    <t>{   "Answer": "B",   "Explain": "After injury to the left recurrent laryngeal nerve, the most likely postoperative finding is aphonia, as the patient may present with hoarse voice or even complete loss of voice due to the compromised vocal cord function, making it difficult for the patient to speak." }</t>
  </si>
  <si>
    <t>{   "Answer": "A",   "Explain": "After breathing 100% O2 for 10 minutes, the mixed venous O2 tension is expected to normal. Normal mixed venous P02 is 40 mmHg, as stated in the document." }</t>
  </si>
  <si>
    <t>{   "Answer": "A",   "Explain": "According to the provided context, flumazenil has a very rapid clearance and short elimination half-life, with a plasma half-life of about 1 hour, making it the shortest among the given options."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</si>
  <si>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</si>
  <si>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</si>
  <si>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 developed sudden onset of nausea, diaphoresis, and sharp pain in the left shoulder, which is not typical of inadequate spinal sensory level. Bladder perforation is a more likely cause, as it can lead to sudden and severe symptoms such as those described." }</t>
  </si>
  <si>
    <t>{   "Answer": "C",   "Explain": "The patient is in the lateral position, which can cause a sudden drop in CO2 levels between point A and point B due to the patient's weight shifting and affecting lung expansion." }</t>
  </si>
  <si>
    <t>{   "Answer": "A",   "Explain": "The standard error of the mean shows the precision of the population mean, which is the expected value of the sample mean if the sample were repeated many times. It represents the amount of uncertainty or variability in the sample mean, and is used to construct confidence intervals and perform hypothesis testing." }</t>
  </si>
  <si>
    <t>{   "Answer": "A",   "Explain": "After breathing 100% O2 for 10 minutes, the mixed venous O2 tension is expected to be 45 mmHg because the oxygen content in the blood is increased, but the oxygen delivery to the tissues is not significantly changed, resulting in a normal mixed venous PO2."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</si>
  <si>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</si>
  <si>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</si>
  <si>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is most likely to be blocked at the adductor canal, below the knee with local infiltration distal to the medial condyle of the tibia, or above the medial malleolus of the foot." }</t>
  </si>
  <si>
    <t>{   "Answer": C,   "Explain": "The patient is experiencing opioid-induced side effects such as pain and nausea, so Naloxone is the most appropriate therapy to reverse these effects."</t>
  </si>
  <si>
    <t>{   "Answer": "B",   "Explain": "Normal saline is the most appropriate initial management for a 68-year-old woman with primary hyperparathyroidism and a serum calcium concentration of 15 mg/dL. This is because aggressive volume repletion is a key part of the management of hypercalcemia, and normal saline can help to rapidly expand intravascular volume and reduce serum calcium levels." }</t>
  </si>
  <si>
    <t>{   "Answer": C,   "Explain": "The caffeine-halothane contracture test has the highest sensitivity and specificity for malignant hyperthermia, making it the most reliable test in predicting the likelihood of a patient developing the condition." }</t>
  </si>
  <si>
    <t>{   "Answer": "B",   "Explain": "The given data states that the anesthetic vaporizer adds 150 mmHg of sevoflurane vapor to the oxygen flow. Since the fresh gas flow is 5 L/min, the volume percent of anesthetic can be calculated as 0.15 (mmHg) / 760 (total atmospheric pressure) = 0.5%."</t>
  </si>
  <si>
    <t>{   "Answer": "C",   "Explain": "Under general anesthesia, vasoconstriction is a physiologic mechanism that helps maintain body temperature in an anesthetized patient, including in cases of mild hypothermia." }</t>
  </si>
  <si>
    <t>{   "Answer": "A",   "Explain": "Flumazenil is a specific antagonist that binds to benzodiazepine receptors but has little intrinsic activity, and as such, its effect on midazolam is easily reversed, which explains why the patient should remain hospitalized for observation." }</t>
  </si>
  <si>
    <t>{     "Answer": "C",     "Explain": "According to the provided context, the dose of the local anesthetic is the most reliable determinant of local anesthetic spread (and thus block height) when compared with either volume or concentration for isobaric and hypobaric local anesthetic solutions." }</t>
  </si>
  <si>
    <t>{   "Answer": "B",   "Explain": "The most appropriate management for the patient's postoperative laryngospasm-induced pulmonary edema is the administration of furosemide, a diuretic that can help alleviate fluid buildup in the lungs and improve oxygenation." }</t>
  </si>
  <si>
    <t>{   "Answer": "B",   "Explain": "Forty-five minutes after the start of the procedure, the patient suddenly develops nausea, diaphoresis, and sharp pain in the left shoulder, which is an unusual presentation of spinal anesthesia. The most likely cause is bladder perforation, as it can lead to rapid absorption of irrigating fluid into the systemic circulation, causing severe hyponatremia, hypertension, and hypotension, which can manifest as symptoms such as nausea, diaphoresis, and pain in the shoulder." }</t>
  </si>
  <si>
    <t>{   "Answer": "C",   "Explain": "A right mainstem endobronchial intubation could cause the ETCO2 to increase as carbon dioxide is being rebreathed into the circuit, and the SpO2 to decrease as ventilation of the lungs is not sufficient to deliver adequate oxygen to the body." }</t>
  </si>
  <si>
    <t>{   "Answer": "B",   "Explain": "The provided context suggests that atelectasis and alveolar hypoventilation are the most common causes of postoperative hypoxemia in the immediate postoperative period. Since the patient is receiving IV PCA with morphine, there is a risk of residual neuromuscular blocking drugs leading to alveolar hypoventilation, which is the most likely cause of her hypoxemia." }</t>
  </si>
  <si>
    <t>{   "Answer": "A",   "Explain": "In pressure support ventilation, pressure support breaths are triggered by a decrease in airway pressure, which means that when the patient starts to exhale and the airway pressure decreases, the ventilator detects this and delivers a pressure support breath to help assist the patient's breathing." }</t>
  </si>
  <si>
    <t>{ "Answer": "B", "Explain": "An increase in coronary perfusion pressure is the most likely factor to satisfy the increased metabolic demand of the myocardium in this situation. This is because increased heart rate requires increased cardiac output, which is achieved by increasing blood pressure to maintain perfusion of the coronary arteries and meet the increased oxygen demands of the myocardium." }</t>
  </si>
  <si>
    <t>{   "Answer": "B",   "Explain": "The prothrombin time is a laboratory test that assesses hepatic synthetic function, as the liver synthesizes coagulation factors. When liver function is adequate, the prothrombin time will remain normal, making it the most likely test to confirm adequate synthetic hepatic function."</t>
  </si>
  <si>
    <t>{   "Answer": "B",   "Explain": "The shock waves in ESWL are timed with the patient's heart rate and are triggered by the R wave on the patient's electrocardiogram. This helps to minimize the risk of cardiac dysrhythmias, making B, ECG synchronization, the best strategy to prevent ventricular dysrhythmias."</t>
  </si>
  <si>
    <t>{     "Answer": "A",     "Explain": "Compared to a semiclosed circle system, a Bain circuit exhibits less rebreathing of CO2 due to its coaxial design, which delivers fresh gas to the patient at the end of the circuit, reducing the amount of rebreathing that occurs."</t>
  </si>
  <si>
    <t>{   "Answer": "C",   "Explain": "The capnograph waveform shows a sudden and marked increase in end-tidal CO2 levels between points A and B, indicating a change in patient position, which may have altered lung volumes and altered ventilation, leading to increased end-tidal CO2 levels." }</t>
  </si>
  <si>
    <t>{   "Answer": "B",   "Explain": "The anesthesiologist should not administer cefazolin immediately as the patient has a history of developing a rash with penicillin administration. Instead, the patient should receive hydrocortisone to treat any potential allergic reaction, followed by cefazolin." }</t>
  </si>
  <si>
    <t>{ "Answer": "A", "Explain": "Blockade of norepinephrine release is the primary toxic effect of bupivacaine on the cardiovascular system, leading to a decrease in cardiac contractility and a slowing of the heart rate." }</t>
  </si>
  <si>
    <t>{   "Answer": "C",   "Explain": "Hyperthermia causes a rightward shift in the oxyhemoglobin dissociation curve, allowing for increased oxygen unloading in the tissues at high partial pressures of oxygen." }</t>
  </si>
  <si>
    <t>{ "Answer": "B", "Explain": "Clinical hypothyroidism is characterized by decreased production of thyroid hormones, leading to decreased cardiac contractility, a key aspect of decreased myocardial function. In patients with hypothyroidism, the heart's ability to contract is weakened, which is reflected in decreased myocardial contractility."</t>
  </si>
  <si>
    <t>{   "Answer": "A",   "Explain": "Etomidate is most likely to be associated with longer seizure duration when used for electroconvulsive therapy due to its failure to cause dose-related seizure inhibition during ECT, as demonstrated in the given text." }</t>
  </si>
  <si>
    <t>{   "Answer": "B",   "Explain": "Ketamine is not a GABA receptor agonist and does not enhance GABA activity, unlike etomidate and propofol." }</t>
  </si>
  <si>
    <t>{ "Answer": "B", "Explain": "The CO2 absorber is misplaced between the expiratory valve and the patient, whereas it should be located after the inspiratory and expiratory valves in a circle system to prevent rebreathing of exhaled gases."</t>
  </si>
  <si>
    <t>{ "Answer": "C", "Explain": "A large volume of distribution is often associated with a low plasma protein binding capacity, as the anesthetic is not being sequestered by proteins in the bloodstream. This allows the anesthetic to distribute widely throughout the body."</t>
  </si>
  <si>
    <t>{   "Answer": "B",   "Explain": "According to the provided context, Rocuronium's elimination half-life is increased in renal failure because of an increase in volume of distribution with no change in clearance, making it the longest-lasting in a patient with renal failure." }</t>
  </si>
  <si>
    <t>{   "Answer": "C",   "Explain": "Instillation of local anesthetic into the trachea via the cricothyroid membrane is most likely to block the Recurrent Laryngeal nerve, which runs posteriorly in the trachea and provides sensory innervation to the vocal cords." }</t>
  </si>
  <si>
    <t>{ "Answer": "A", "Explain": "The superior laryngeal nerve is the best nerve to block to prevent gagging during awake intubation, as it provides sensory input from the lower pharynx and the upper part of the larynx, including the glottic surface of the epiglottis and the aryepiglottic folds." }</t>
  </si>
  <si>
    <t>{   "Answer": A,   "Explain": "The initial reduction in core temperature during general anesthesia is most likely due to the ablation of thermoregulatory vasoconstriction, as the anesthetic agents disrupt the body's natural ability to constrict blood vessels in response to cold stress, leading to increased heat loss." }</t>
  </si>
  <si>
    <t>{   "Answer": "A",   "Explain": "The patient's SpO2 decreases from 98% to 84% and then improves to 92% when FiO2 is increased to 1.0, indicating that the patient's oxygenation is mainly affected by inspired oxygen levels. The likely cause of hypoxemia is therefore a decrease in fractional inspired oxygen (FiO2), which suggests an issue with the ETT, possibly due to a high FRC, which would decrease FiO2." }</t>
  </si>
  <si>
    <t>{   "Answer": "C",   "Explain": "A musculocutaneous block would be the next step as it would target the muscles and nerves that have not been anesthetized by the initial supraclavicular block, providing additional anesthesia coverage for the arm."</t>
  </si>
  <si>
    <t>{   "Answer": "A",   "Explain": "After a single dose of propofol, emergence is primarily due to redistribution of the drug from its site of action in the brain to other tissues, as well as its rapid clearance through metabolism by the liver." }</t>
  </si>
  <si>
    <t>{ "Answer": "A", "Explain": "A DECREASE in the O2 analyzer reading from 50% to 30% is most likely caused by a leak in the ventilator bellows, as oxygen is leaking out of the circuit, reducing the inspired oxygen concentration." }</t>
  </si>
  <si>
    <t>{   "Answer": "A",   "Explain": "After an induction dose of ketamine, the patient appears to be in a cataleptic state with intense analgesia and amnesia, which is characterized by eyes remaining open with a slow nystagmic gaze, slow movements of the extremities, and an increase in skeletal muscle tone, making analgesia the most likely effect of an induction dose of ketamine." }</t>
  </si>
  <si>
    <t>{   "Answer": "C",   "Explain": "Fentanyl has a shorter elimination half-life compared to morphine, which is due to its rapid redistribution to inactive tissue sites and metabolism by the liver, leading to a decrease in its duration of action." }</t>
  </si>
  <si>
    <t>{   "Answer": "A",   "Explain": "The standard error of the mean shows the precision of the population mean, as it is a measure of how much the sample mean is likely to deviate from the true population mean due to random sampling error." }</t>
  </si>
  <si>
    <t>{   "Answer": "B",   "Explain": "Pulse oximetry does not accurately reflect SaO2 in situations with carboxyhemoglobinemia, as it cannot distinguish between carboxyhemoglobin and oxyhemoglobin." }</t>
  </si>
  <si>
    <t>{   "Answer": "C",   "Explain": "Given a patient with a fasting blood glucose of 100 mg/dL, who is receiving a 4-hour general anesthetic, it is most likely that on emergence, their blood glucose level will decrease slightly due to the anesthetic agents. This decrease is not expected to be severe, making mild hypoglycemia (C) the most likely outcome." }</t>
  </si>
  <si>
    <t>{   "Answer": "C",   "Explain": "Ranitidine increases gastric pH in pregnant women without producing adverse effects." }</t>
  </si>
  <si>
    <t>{ "Answer": "C", "Explain": "Nitrous oxide has a lower blood gas solubility compared to desflurane, which means that it does not require as much time to be dissolved in the blood before equilibrating with the gas phase. This faster equilibration is due to the smaller amount of nitrous oxide that needs to be dissolved in the blood, allowing its alveolar and inspired concentrations to equilibrate more rapidly." }</t>
  </si>
  <si>
    <t>{   "Answer": A,   "Explain": "To increase the patient's oxygen reserve, allowing for a longer duration of apnea without oxygen desaturation, prior to securing the airway and resuming ventilation."</t>
  </si>
  <si>
    <t>{   "Answer": "B",   "Explain": "A 32-year-old woman sustaining an injury to the left recurrent laryngeal nerve during thyroidectomy is likely to experience aphonia due to bilateral damage, which can result in bilateral vocal cord paralysis and stridor." }</t>
  </si>
  <si>
    <t>{   "Answer": "A",   "Explain": "When a patient breathes 100% O2 for 10 minutes, their mixed venous O2 tension (PvO2) is expected to be 45 mmHg because their cardiac output and tissue oxygen consumption remain unchanged. This is a normal response to 100% O2 administration, as it does not affect oxygen delivery to the tissues." }</t>
  </si>
  <si>
    <t>{ "Answer": "A", "Explain": "Flumazenil has a very rapid clearance and short elimination half-life, with a plasma half-life of about 1 hour, making it the shortest-lived of all benzodiazepines used in anesthetic practice."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</si>
  <si>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</si>
  <si>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</si>
  <si>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anesthesia to the medial aspect of the lower leg, blocks to the sciatic, tibial, and peroneal nerves are typically necessary. While blocks of the tibial and peroneal nerves would seem obvious choices for this surgery, blocking the femoral nerve before proceeding with additional ankle and toe blocks will ensure sufficient anesthesia."</t>
  </si>
  <si>
    <t>{ "Answer": "A", "Explain": "Flumazenil is appropriate therapy for the patient's pain as the premedication with morphine and midazolam combined has been effective. As acute opiate withdrawal symptoms including dyspainophobia-like disorders are treated with agents such as flumazenil. That provides potent antagonism agonizes both GABAA receptor" }</t>
  </si>
  <si>
    <t>{   "Answer": "A",   "Explen": "Administration of magnesium sulfur should not be  given because there is a much mor immediate and direct response in correcting hypercalaemia and treating the signs and symptoms by giving calcium via IV to bring the serum cancer concentration more rapidly." }</t>
  </si>
  <si>
    <t>{ "Answer": C, "Explain": "According to the document, 'a skeletal muscle biopsy, the skeletal muscle is then tested in vitro for isometric contracture in response to stimulation with anesthesia substances; contracture tests have higher sensitivity and specificity'"</t>
  </si>
  <si>
    <t>{   Answer: "A",   "Explain": "The total fresh gas flow is 5 L/min and the agent vaporizer output is 100 mL/min. Then set up a proportion to equate O2 volume percentage in the inlet and outlet stream, allowing us to calculate the percent sevoflurane: O2 = X * (39 : 61%) ; since O2 output=150 mL/min + 100 mL/min=250 mL/min. We get a O2 %=60% and accordingly, we calculated the 21% is anemic composition will lead us to C."}</t>
  </si>
  <si>
    <t>{     Answer: "C",      "Explain": "Cold, dilated vessels cause temperature maintenance by conserving heat in the core. With general anesthesia, including using 1 MAC of isoflurane in this patient, the vasodilatation-indduced cooling is blunted. Therefore, maintaining vasoconstricton as a mechanical means of temperature regulation becomes the most effective means despite low body temperatures, rendering option C the selected choice."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</si>
</sst>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32</v>
      </c>
      <c r="C5" s="14">
        <f t="shared" si="1"/>
        <v>30</v>
      </c>
      <c r="D5" s="14">
        <f t="shared" si="1"/>
        <v>28</v>
      </c>
      <c r="E5" s="14">
        <f t="shared" si="1"/>
        <v>30</v>
      </c>
      <c r="F5" s="14">
        <f t="shared" si="1"/>
        <v>27</v>
      </c>
      <c r="G5" s="14">
        <f t="shared" si="1"/>
        <v>28</v>
      </c>
      <c r="H5" s="14">
        <f t="shared" si="1"/>
        <v>30</v>
      </c>
      <c r="I5" s="14">
        <f t="shared" si="1"/>
        <v>26</v>
      </c>
      <c r="J5" s="14">
        <f t="shared" si="1"/>
        <v>23</v>
      </c>
    </row>
    <row r="6">
      <c r="A6" s="13" t="s">
        <v>14</v>
      </c>
      <c r="B6" s="13">
        <v>46.0</v>
      </c>
      <c r="C6" s="13">
        <v>46.0</v>
      </c>
      <c r="D6" s="13">
        <v>46.0</v>
      </c>
      <c r="E6" s="13">
        <v>46.0</v>
      </c>
      <c r="F6" s="13">
        <v>46.0</v>
      </c>
      <c r="G6" s="13">
        <v>46.0</v>
      </c>
      <c r="H6" s="13">
        <v>46.0</v>
      </c>
      <c r="I6" s="13">
        <v>46.0</v>
      </c>
      <c r="J6" s="13">
        <v>46.0</v>
      </c>
    </row>
    <row r="7">
      <c r="A7" s="15" t="s">
        <v>15</v>
      </c>
      <c r="B7" s="16">
        <f t="shared" ref="B7:J7" si="2">B5/B6</f>
        <v>0.6956521739</v>
      </c>
      <c r="C7" s="16">
        <f t="shared" si="2"/>
        <v>0.652173913</v>
      </c>
      <c r="D7" s="17">
        <f t="shared" si="2"/>
        <v>0.6086956522</v>
      </c>
      <c r="E7" s="17">
        <f t="shared" si="2"/>
        <v>0.652173913</v>
      </c>
      <c r="F7" s="17">
        <f t="shared" si="2"/>
        <v>0.5869565217</v>
      </c>
      <c r="G7" s="17">
        <f t="shared" si="2"/>
        <v>0.6086956522</v>
      </c>
      <c r="H7" s="17">
        <f t="shared" si="2"/>
        <v>0.652173913</v>
      </c>
      <c r="I7" s="17">
        <f t="shared" si="2"/>
        <v>0.5652173913</v>
      </c>
      <c r="J7" s="17">
        <f t="shared" si="2"/>
        <v>0.5</v>
      </c>
      <c r="K7" s="18"/>
    </row>
    <row r="8">
      <c r="A8" s="19">
        <v>1.0</v>
      </c>
      <c r="B8" s="20" t="s">
        <v>16</v>
      </c>
      <c r="C8" s="21" t="s">
        <v>16</v>
      </c>
      <c r="D8" s="22" t="s">
        <v>16</v>
      </c>
      <c r="E8" s="23" t="s">
        <v>16</v>
      </c>
      <c r="F8" s="23" t="s">
        <v>16</v>
      </c>
      <c r="G8" s="23" t="s">
        <v>17</v>
      </c>
      <c r="H8" s="24" t="s">
        <v>16</v>
      </c>
      <c r="I8" s="23" t="s">
        <v>16</v>
      </c>
      <c r="J8" s="23" t="s">
        <v>16</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17</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16</v>
      </c>
      <c r="H14" s="27" t="s">
        <v>17</v>
      </c>
      <c r="I14" s="26" t="s">
        <v>17</v>
      </c>
      <c r="J14" s="26" t="s">
        <v>17</v>
      </c>
    </row>
    <row r="15">
      <c r="A15" s="19">
        <v>8.0</v>
      </c>
      <c r="B15" s="20" t="s">
        <v>17</v>
      </c>
      <c r="C15" s="21" t="s">
        <v>17</v>
      </c>
      <c r="D15" s="25" t="s">
        <v>17</v>
      </c>
      <c r="E15" s="26" t="s">
        <v>17</v>
      </c>
      <c r="F15" s="26" t="s">
        <v>17</v>
      </c>
      <c r="G15" s="26" t="s">
        <v>17</v>
      </c>
      <c r="H15" s="27" t="s">
        <v>17</v>
      </c>
      <c r="I15" s="26" t="s">
        <v>17</v>
      </c>
      <c r="J15" s="26" t="s">
        <v>17</v>
      </c>
    </row>
    <row r="16">
      <c r="A16" s="19">
        <v>9.0</v>
      </c>
      <c r="B16" s="20" t="s">
        <v>16</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16</v>
      </c>
      <c r="C18" s="21" t="s">
        <v>16</v>
      </c>
      <c r="D18" s="25" t="s">
        <v>16</v>
      </c>
      <c r="E18" s="26" t="s">
        <v>16</v>
      </c>
      <c r="F18" s="26" t="s">
        <v>16</v>
      </c>
      <c r="G18" s="26" t="s">
        <v>16</v>
      </c>
      <c r="H18" s="27" t="s">
        <v>16</v>
      </c>
      <c r="I18" s="26" t="s">
        <v>16</v>
      </c>
      <c r="J18" s="26" t="s">
        <v>16</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17</v>
      </c>
      <c r="E27" s="26" t="s">
        <v>16</v>
      </c>
      <c r="F27" s="26" t="s">
        <v>17</v>
      </c>
      <c r="G27" s="26" t="s">
        <v>17</v>
      </c>
      <c r="H27" s="27" t="s">
        <v>16</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16</v>
      </c>
      <c r="H32" s="27" t="s">
        <v>16</v>
      </c>
      <c r="I32" s="26" t="s">
        <v>16</v>
      </c>
      <c r="J32" s="26" t="s">
        <v>16</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16</v>
      </c>
      <c r="H35" s="27" t="s">
        <v>17</v>
      </c>
      <c r="I35" s="26" t="s">
        <v>17</v>
      </c>
      <c r="J35" s="26" t="s">
        <v>17</v>
      </c>
    </row>
    <row r="36">
      <c r="A36" s="19">
        <v>29.0</v>
      </c>
      <c r="B36" s="20" t="s">
        <v>16</v>
      </c>
      <c r="C36" s="21" t="s">
        <v>16</v>
      </c>
      <c r="D36" s="25" t="s">
        <v>16</v>
      </c>
      <c r="E36" s="26" t="s">
        <v>16</v>
      </c>
      <c r="F36" s="26" t="s">
        <v>16</v>
      </c>
      <c r="G36" s="26" t="s">
        <v>17</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16</v>
      </c>
      <c r="C40" s="21" t="s">
        <v>16</v>
      </c>
      <c r="D40" s="25" t="s">
        <v>17</v>
      </c>
      <c r="E40" s="26" t="s">
        <v>16</v>
      </c>
      <c r="F40" s="26" t="s">
        <v>17</v>
      </c>
      <c r="G40" s="26" t="s">
        <v>16</v>
      </c>
      <c r="H40" s="27" t="s">
        <v>16</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17</v>
      </c>
      <c r="C42" s="21" t="s">
        <v>17</v>
      </c>
      <c r="D42" s="25" t="s">
        <v>17</v>
      </c>
      <c r="E42" s="26" t="s">
        <v>17</v>
      </c>
      <c r="F42" s="26" t="s">
        <v>17</v>
      </c>
      <c r="G42" s="26" t="s">
        <v>17</v>
      </c>
      <c r="H42" s="27" t="s">
        <v>17</v>
      </c>
      <c r="I42" s="26" t="s">
        <v>17</v>
      </c>
      <c r="J42" s="26" t="s">
        <v>17</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16</v>
      </c>
      <c r="H47" s="27" t="s">
        <v>16</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17</v>
      </c>
      <c r="G50" s="26" t="s">
        <v>17</v>
      </c>
      <c r="H50" s="27" t="s">
        <v>16</v>
      </c>
      <c r="I50" s="26" t="s">
        <v>17</v>
      </c>
      <c r="J50" s="26" t="s">
        <v>17</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1" t="s">
        <v>16</v>
      </c>
      <c r="D53" s="29" t="s">
        <v>16</v>
      </c>
      <c r="E53" s="30" t="s">
        <v>16</v>
      </c>
      <c r="F53" s="30" t="s">
        <v>16</v>
      </c>
      <c r="G53" s="30" t="s">
        <v>16</v>
      </c>
      <c r="H53" s="31" t="s">
        <v>16</v>
      </c>
      <c r="I53" s="30" t="s">
        <v>16</v>
      </c>
      <c r="J53" s="30" t="s">
        <v>16</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26406.0</v>
      </c>
    </row>
    <row r="5" ht="60.0" customHeight="1">
      <c r="A5" s="39">
        <v>2.0</v>
      </c>
      <c r="B5" s="40" t="s">
        <v>38</v>
      </c>
      <c r="C5" s="40" t="s">
        <v>39</v>
      </c>
      <c r="D5" s="40" t="s">
        <v>40</v>
      </c>
      <c r="E5" s="40" t="s">
        <v>41</v>
      </c>
      <c r="F5" s="39" t="str">
        <f t="shared" si="1"/>
        <v>CORRECT</v>
      </c>
      <c r="G5" s="39" t="s">
        <v>42</v>
      </c>
      <c r="H5" s="43" t="s">
        <v>42</v>
      </c>
      <c r="I5" s="42" t="s">
        <v>43</v>
      </c>
      <c r="J5" s="41">
        <v>30009.0</v>
      </c>
    </row>
    <row r="6" ht="60.0" customHeight="1">
      <c r="A6" s="39">
        <v>3.0</v>
      </c>
      <c r="B6" s="40" t="s">
        <v>44</v>
      </c>
      <c r="C6" s="40" t="s">
        <v>45</v>
      </c>
      <c r="D6" s="40" t="s">
        <v>46</v>
      </c>
      <c r="E6" s="40" t="s">
        <v>47</v>
      </c>
      <c r="F6" s="39" t="str">
        <f t="shared" si="1"/>
        <v>CORRECT</v>
      </c>
      <c r="G6" s="39" t="s">
        <v>48</v>
      </c>
      <c r="H6" s="41" t="s">
        <v>48</v>
      </c>
      <c r="I6" s="42" t="s">
        <v>49</v>
      </c>
      <c r="J6" s="41">
        <v>29838.0</v>
      </c>
    </row>
    <row r="7" ht="60.0" customHeight="1">
      <c r="A7" s="39">
        <v>4.0</v>
      </c>
      <c r="B7" s="40" t="s">
        <v>50</v>
      </c>
      <c r="C7" s="40" t="s">
        <v>51</v>
      </c>
      <c r="D7" s="40" t="s">
        <v>52</v>
      </c>
      <c r="E7" s="40" t="s">
        <v>53</v>
      </c>
      <c r="F7" s="39" t="str">
        <f t="shared" si="1"/>
        <v>CORRECT</v>
      </c>
      <c r="G7" s="39" t="s">
        <v>42</v>
      </c>
      <c r="H7" s="41" t="s">
        <v>42</v>
      </c>
      <c r="I7" s="42" t="s">
        <v>54</v>
      </c>
      <c r="J7" s="41">
        <v>19516.0</v>
      </c>
    </row>
    <row r="8" ht="60.0" customHeight="1">
      <c r="A8" s="39">
        <v>5.0</v>
      </c>
      <c r="B8" s="40" t="s">
        <v>55</v>
      </c>
      <c r="C8" s="40" t="s">
        <v>56</v>
      </c>
      <c r="D8" s="40" t="s">
        <v>57</v>
      </c>
      <c r="E8" s="40" t="s">
        <v>58</v>
      </c>
      <c r="F8" s="39" t="str">
        <f t="shared" si="1"/>
        <v>CORRECT</v>
      </c>
      <c r="G8" s="39" t="s">
        <v>48</v>
      </c>
      <c r="H8" s="43" t="s">
        <v>48</v>
      </c>
      <c r="I8" s="42" t="s">
        <v>59</v>
      </c>
      <c r="J8" s="41">
        <v>49384.0</v>
      </c>
    </row>
    <row r="9" ht="60.0" customHeight="1">
      <c r="A9" s="39">
        <v>6.0</v>
      </c>
      <c r="B9" s="40" t="s">
        <v>60</v>
      </c>
      <c r="C9" s="40" t="s">
        <v>61</v>
      </c>
      <c r="D9" s="40" t="s">
        <v>62</v>
      </c>
      <c r="E9" s="40" t="s">
        <v>63</v>
      </c>
      <c r="F9" s="39" t="str">
        <f t="shared" si="1"/>
        <v>CORRECT</v>
      </c>
      <c r="G9" s="39" t="s">
        <v>42</v>
      </c>
      <c r="H9" s="41" t="s">
        <v>42</v>
      </c>
      <c r="I9" s="42" t="s">
        <v>64</v>
      </c>
      <c r="J9" s="41">
        <v>21322.0</v>
      </c>
    </row>
    <row r="10" ht="60.0" customHeight="1">
      <c r="A10" s="39">
        <v>7.0</v>
      </c>
      <c r="B10" s="40" t="s">
        <v>65</v>
      </c>
      <c r="C10" s="40" t="s">
        <v>66</v>
      </c>
      <c r="D10" s="40" t="s">
        <v>67</v>
      </c>
      <c r="E10" s="40" t="s">
        <v>68</v>
      </c>
      <c r="F10" s="39" t="str">
        <f t="shared" si="1"/>
        <v>CORRECT</v>
      </c>
      <c r="G10" s="39" t="s">
        <v>42</v>
      </c>
      <c r="H10" s="41" t="s">
        <v>42</v>
      </c>
      <c r="I10" s="42" t="s">
        <v>69</v>
      </c>
      <c r="J10" s="41">
        <v>32236.0</v>
      </c>
    </row>
    <row r="11" ht="60.0" customHeight="1">
      <c r="A11" s="39">
        <v>8.0</v>
      </c>
      <c r="B11" s="40" t="s">
        <v>70</v>
      </c>
      <c r="C11" s="40" t="s">
        <v>71</v>
      </c>
      <c r="D11" s="40" t="s">
        <v>72</v>
      </c>
      <c r="E11" s="40" t="s">
        <v>73</v>
      </c>
      <c r="F11" s="39" t="str">
        <f t="shared" si="1"/>
        <v>WRONG</v>
      </c>
      <c r="G11" s="39" t="s">
        <v>48</v>
      </c>
      <c r="H11" s="41" t="s">
        <v>42</v>
      </c>
      <c r="I11" s="42" t="s">
        <v>74</v>
      </c>
      <c r="J11" s="41">
        <v>27913.0</v>
      </c>
    </row>
    <row r="12" ht="60.0" customHeight="1">
      <c r="A12" s="39">
        <v>9.0</v>
      </c>
      <c r="B12" s="40" t="s">
        <v>75</v>
      </c>
      <c r="C12" s="40" t="s">
        <v>76</v>
      </c>
      <c r="D12" s="40" t="s">
        <v>77</v>
      </c>
      <c r="E12" s="40" t="s">
        <v>78</v>
      </c>
      <c r="F12" s="39" t="str">
        <f t="shared" si="1"/>
        <v>CORRECT</v>
      </c>
      <c r="G12" s="39" t="s">
        <v>42</v>
      </c>
      <c r="H12" s="41" t="s">
        <v>42</v>
      </c>
      <c r="I12" s="42" t="s">
        <v>79</v>
      </c>
      <c r="J12" s="41">
        <v>23089.0</v>
      </c>
    </row>
    <row r="13" ht="60.0" customHeight="1">
      <c r="A13" s="39">
        <v>10.0</v>
      </c>
      <c r="B13" s="40" t="s">
        <v>80</v>
      </c>
      <c r="C13" s="40" t="s">
        <v>81</v>
      </c>
      <c r="D13" s="40" t="s">
        <v>82</v>
      </c>
      <c r="E13" s="40" t="s">
        <v>83</v>
      </c>
      <c r="F13" s="39" t="str">
        <f t="shared" si="1"/>
        <v>CORRECT</v>
      </c>
      <c r="G13" s="39" t="s">
        <v>48</v>
      </c>
      <c r="H13" s="41" t="s">
        <v>48</v>
      </c>
      <c r="I13" s="42" t="s">
        <v>84</v>
      </c>
      <c r="J13" s="41">
        <v>28576.0</v>
      </c>
    </row>
    <row r="14" ht="60.0" customHeight="1">
      <c r="A14" s="39">
        <v>11.0</v>
      </c>
      <c r="B14" s="40" t="s">
        <v>85</v>
      </c>
      <c r="C14" s="40" t="s">
        <v>86</v>
      </c>
      <c r="D14" s="40" t="s">
        <v>87</v>
      </c>
      <c r="E14" s="40" t="s">
        <v>88</v>
      </c>
      <c r="F14" s="39" t="str">
        <f t="shared" si="1"/>
        <v>CORRECT</v>
      </c>
      <c r="G14" s="39" t="s">
        <v>42</v>
      </c>
      <c r="H14" s="43" t="s">
        <v>42</v>
      </c>
      <c r="I14" s="42" t="s">
        <v>89</v>
      </c>
      <c r="J14" s="41">
        <v>43531.0</v>
      </c>
    </row>
    <row r="15" ht="60.0" customHeight="1">
      <c r="A15" s="39">
        <v>12.0</v>
      </c>
      <c r="B15" s="40" t="s">
        <v>90</v>
      </c>
      <c r="C15" s="40" t="s">
        <v>91</v>
      </c>
      <c r="D15" s="40" t="s">
        <v>92</v>
      </c>
      <c r="E15" s="40" t="s">
        <v>93</v>
      </c>
      <c r="F15" s="39" t="str">
        <f t="shared" si="1"/>
        <v>CORRECT</v>
      </c>
      <c r="G15" s="39" t="s">
        <v>48</v>
      </c>
      <c r="H15" s="43" t="s">
        <v>48</v>
      </c>
      <c r="I15" s="42" t="s">
        <v>94</v>
      </c>
      <c r="J15" s="41">
        <v>30810.0</v>
      </c>
    </row>
    <row r="16" ht="60.0" customHeight="1">
      <c r="A16" s="39">
        <v>13.0</v>
      </c>
      <c r="B16" s="40" t="s">
        <v>95</v>
      </c>
      <c r="C16" s="40" t="s">
        <v>96</v>
      </c>
      <c r="D16" s="40" t="s">
        <v>97</v>
      </c>
      <c r="E16" s="40" t="s">
        <v>98</v>
      </c>
      <c r="F16" s="39" t="str">
        <f t="shared" si="1"/>
        <v>CORRECT</v>
      </c>
      <c r="G16" s="39" t="s">
        <v>36</v>
      </c>
      <c r="H16" s="41" t="s">
        <v>36</v>
      </c>
      <c r="I16" s="42" t="s">
        <v>99</v>
      </c>
      <c r="J16" s="41">
        <v>22967.0</v>
      </c>
    </row>
    <row r="17" ht="60.0" customHeight="1">
      <c r="A17" s="39">
        <v>14.0</v>
      </c>
      <c r="B17" s="40" t="s">
        <v>100</v>
      </c>
      <c r="C17" s="40" t="s">
        <v>101</v>
      </c>
      <c r="D17" s="40" t="s">
        <v>102</v>
      </c>
      <c r="E17" s="40" t="s">
        <v>103</v>
      </c>
      <c r="F17" s="39" t="str">
        <f t="shared" si="1"/>
        <v>WRONG</v>
      </c>
      <c r="G17" s="39" t="s">
        <v>36</v>
      </c>
      <c r="H17" s="41" t="s">
        <v>48</v>
      </c>
      <c r="I17" s="42" t="s">
        <v>104</v>
      </c>
      <c r="J17" s="41">
        <v>27531.0</v>
      </c>
    </row>
    <row r="18" ht="60.0" customHeight="1">
      <c r="A18" s="39">
        <v>15.0</v>
      </c>
      <c r="B18" s="40" t="s">
        <v>105</v>
      </c>
      <c r="C18" s="40" t="s">
        <v>106</v>
      </c>
      <c r="D18" s="40" t="s">
        <v>107</v>
      </c>
      <c r="E18" s="40" t="s">
        <v>108</v>
      </c>
      <c r="F18" s="39" t="str">
        <f t="shared" si="1"/>
        <v>CORRECT</v>
      </c>
      <c r="G18" s="39" t="s">
        <v>48</v>
      </c>
      <c r="H18" s="43" t="s">
        <v>48</v>
      </c>
      <c r="I18" s="42" t="s">
        <v>109</v>
      </c>
      <c r="J18" s="41">
        <v>42933.0</v>
      </c>
    </row>
    <row r="19" ht="60.0" customHeight="1">
      <c r="A19" s="39">
        <v>16.0</v>
      </c>
      <c r="B19" s="40" t="s">
        <v>110</v>
      </c>
      <c r="C19" s="40" t="s">
        <v>111</v>
      </c>
      <c r="D19" s="40" t="s">
        <v>112</v>
      </c>
      <c r="E19" s="40" t="s">
        <v>113</v>
      </c>
      <c r="F19" s="39" t="str">
        <f t="shared" si="1"/>
        <v>CORRECT</v>
      </c>
      <c r="G19" s="39" t="s">
        <v>48</v>
      </c>
      <c r="H19" s="43" t="s">
        <v>48</v>
      </c>
      <c r="I19" s="42" t="s">
        <v>114</v>
      </c>
      <c r="J19" s="41">
        <v>22460.0</v>
      </c>
    </row>
    <row r="20" ht="60.0" customHeight="1">
      <c r="A20" s="39">
        <v>17.0</v>
      </c>
      <c r="B20" s="40" t="s">
        <v>115</v>
      </c>
      <c r="C20" s="40" t="s">
        <v>116</v>
      </c>
      <c r="D20" s="40" t="s">
        <v>117</v>
      </c>
      <c r="E20" s="40" t="s">
        <v>118</v>
      </c>
      <c r="F20" s="39" t="str">
        <f t="shared" si="1"/>
        <v>WRONG</v>
      </c>
      <c r="G20" s="39" t="s">
        <v>42</v>
      </c>
      <c r="H20" s="41" t="s">
        <v>36</v>
      </c>
      <c r="I20" s="42" t="s">
        <v>119</v>
      </c>
      <c r="J20" s="41">
        <v>27986.0</v>
      </c>
    </row>
    <row r="21" ht="60.0" customHeight="1">
      <c r="A21" s="39">
        <v>18.0</v>
      </c>
      <c r="B21" s="40" t="s">
        <v>120</v>
      </c>
      <c r="C21" s="40" t="s">
        <v>121</v>
      </c>
      <c r="D21" s="40" t="s">
        <v>122</v>
      </c>
      <c r="E21" s="40" t="s">
        <v>123</v>
      </c>
      <c r="F21" s="39" t="str">
        <f t="shared" si="1"/>
        <v>CORRECT</v>
      </c>
      <c r="G21" s="39" t="s">
        <v>42</v>
      </c>
      <c r="H21" s="41" t="s">
        <v>42</v>
      </c>
      <c r="I21" s="42" t="s">
        <v>124</v>
      </c>
      <c r="J21" s="41">
        <v>23159.0</v>
      </c>
    </row>
    <row r="22" ht="60.0" customHeight="1">
      <c r="A22" s="39">
        <v>19.0</v>
      </c>
      <c r="B22" s="40" t="s">
        <v>125</v>
      </c>
      <c r="C22" s="40" t="s">
        <v>126</v>
      </c>
      <c r="D22" s="40" t="s">
        <v>127</v>
      </c>
      <c r="E22" s="40" t="s">
        <v>128</v>
      </c>
      <c r="F22" s="39" t="str">
        <f t="shared" si="1"/>
        <v>WRONG</v>
      </c>
      <c r="G22" s="39" t="s">
        <v>36</v>
      </c>
      <c r="H22" s="43" t="s">
        <v>48</v>
      </c>
      <c r="I22" s="42" t="s">
        <v>129</v>
      </c>
      <c r="J22" s="41">
        <v>36000.0</v>
      </c>
    </row>
    <row r="23" ht="60.0" customHeight="1">
      <c r="A23" s="39">
        <v>20.0</v>
      </c>
      <c r="B23" s="40" t="s">
        <v>130</v>
      </c>
      <c r="C23" s="40" t="s">
        <v>131</v>
      </c>
      <c r="D23" s="40" t="s">
        <v>132</v>
      </c>
      <c r="E23" s="40" t="s">
        <v>133</v>
      </c>
      <c r="F23" s="39" t="str">
        <f t="shared" si="1"/>
        <v>CORRECT</v>
      </c>
      <c r="G23" s="39" t="s">
        <v>42</v>
      </c>
      <c r="H23" s="41" t="s">
        <v>42</v>
      </c>
      <c r="I23" s="42" t="s">
        <v>134</v>
      </c>
      <c r="J23" s="41">
        <v>14251.0</v>
      </c>
    </row>
    <row r="24" ht="60.0" customHeight="1">
      <c r="A24" s="39">
        <v>21.0</v>
      </c>
      <c r="B24" s="40" t="s">
        <v>135</v>
      </c>
      <c r="C24" s="40" t="s">
        <v>136</v>
      </c>
      <c r="D24" s="40" t="s">
        <v>137</v>
      </c>
      <c r="E24" s="40" t="s">
        <v>138</v>
      </c>
      <c r="F24" s="39" t="str">
        <f t="shared" si="1"/>
        <v>WRONG</v>
      </c>
      <c r="G24" s="39" t="s">
        <v>42</v>
      </c>
      <c r="H24" s="41" t="s">
        <v>36</v>
      </c>
      <c r="I24" s="42" t="s">
        <v>139</v>
      </c>
      <c r="J24" s="41">
        <v>21089.0</v>
      </c>
    </row>
    <row r="25" ht="60.0" customHeight="1">
      <c r="A25" s="39">
        <v>22.0</v>
      </c>
      <c r="B25" s="40" t="s">
        <v>140</v>
      </c>
      <c r="C25" s="40" t="s">
        <v>141</v>
      </c>
      <c r="D25" s="40" t="s">
        <v>142</v>
      </c>
      <c r="E25" s="40" t="s">
        <v>143</v>
      </c>
      <c r="F25" s="39" t="str">
        <f t="shared" si="1"/>
        <v>CORRECT</v>
      </c>
      <c r="G25" s="39" t="s">
        <v>42</v>
      </c>
      <c r="H25" s="41" t="s">
        <v>42</v>
      </c>
      <c r="I25" s="42" t="s">
        <v>144</v>
      </c>
      <c r="J25" s="41">
        <v>18131.0</v>
      </c>
    </row>
    <row r="26" ht="60.0" customHeight="1">
      <c r="A26" s="39">
        <v>23.0</v>
      </c>
      <c r="B26" s="40" t="s">
        <v>145</v>
      </c>
      <c r="C26" s="40" t="s">
        <v>146</v>
      </c>
      <c r="D26" s="40" t="s">
        <v>147</v>
      </c>
      <c r="E26" s="40" t="s">
        <v>148</v>
      </c>
      <c r="F26" s="39" t="str">
        <f t="shared" si="1"/>
        <v>CORRECT</v>
      </c>
      <c r="G26" s="39" t="s">
        <v>48</v>
      </c>
      <c r="H26" s="41" t="s">
        <v>48</v>
      </c>
      <c r="I26" s="42" t="s">
        <v>149</v>
      </c>
      <c r="J26" s="41">
        <v>17783.0</v>
      </c>
    </row>
    <row r="27" ht="60.0" customHeight="1">
      <c r="A27" s="39">
        <v>24.0</v>
      </c>
      <c r="B27" s="40" t="s">
        <v>150</v>
      </c>
      <c r="C27" s="40" t="s">
        <v>151</v>
      </c>
      <c r="D27" s="40" t="s">
        <v>152</v>
      </c>
      <c r="E27" s="40" t="s">
        <v>153</v>
      </c>
      <c r="F27" s="39" t="str">
        <f t="shared" si="1"/>
        <v>CORRECT</v>
      </c>
      <c r="G27" s="39" t="s">
        <v>36</v>
      </c>
      <c r="H27" s="41" t="s">
        <v>36</v>
      </c>
      <c r="I27" s="42" t="s">
        <v>154</v>
      </c>
      <c r="J27" s="41">
        <v>20614.0</v>
      </c>
    </row>
    <row r="28" ht="60.0" customHeight="1">
      <c r="A28" s="39">
        <v>25.0</v>
      </c>
      <c r="B28" s="40" t="s">
        <v>155</v>
      </c>
      <c r="C28" s="40" t="s">
        <v>151</v>
      </c>
      <c r="D28" s="40" t="s">
        <v>156</v>
      </c>
      <c r="E28" s="40" t="s">
        <v>153</v>
      </c>
      <c r="F28" s="39" t="str">
        <f t="shared" si="1"/>
        <v>CORRECT</v>
      </c>
      <c r="G28" s="39" t="s">
        <v>48</v>
      </c>
      <c r="H28" s="43" t="s">
        <v>48</v>
      </c>
      <c r="I28" s="42" t="s">
        <v>157</v>
      </c>
      <c r="J28" s="41">
        <v>21704.0</v>
      </c>
    </row>
    <row r="29" ht="60.0" customHeight="1">
      <c r="A29" s="39">
        <v>26.0</v>
      </c>
      <c r="B29" s="40" t="s">
        <v>158</v>
      </c>
      <c r="C29" s="40" t="s">
        <v>159</v>
      </c>
      <c r="D29" s="40" t="s">
        <v>160</v>
      </c>
      <c r="E29" s="40" t="s">
        <v>161</v>
      </c>
      <c r="F29" s="39" t="str">
        <f t="shared" si="1"/>
        <v>WRONG</v>
      </c>
      <c r="G29" s="39" t="s">
        <v>36</v>
      </c>
      <c r="H29" s="41" t="s">
        <v>48</v>
      </c>
      <c r="I29" s="42" t="s">
        <v>162</v>
      </c>
      <c r="J29" s="41">
        <v>24822.0</v>
      </c>
    </row>
    <row r="30" ht="60.0" customHeight="1">
      <c r="A30" s="39">
        <v>27.0</v>
      </c>
      <c r="B30" s="40" t="s">
        <v>163</v>
      </c>
      <c r="C30" s="40" t="s">
        <v>164</v>
      </c>
      <c r="D30" s="40" t="s">
        <v>165</v>
      </c>
      <c r="E30" s="40" t="s">
        <v>166</v>
      </c>
      <c r="F30" s="39" t="str">
        <f t="shared" si="1"/>
        <v>CORRECT</v>
      </c>
      <c r="G30" s="39" t="s">
        <v>42</v>
      </c>
      <c r="H30" s="41" t="s">
        <v>42</v>
      </c>
      <c r="I30" s="42" t="s">
        <v>167</v>
      </c>
      <c r="J30" s="41">
        <v>30903.0</v>
      </c>
    </row>
    <row r="31" ht="60.0" customHeight="1">
      <c r="A31" s="39">
        <v>28.0</v>
      </c>
      <c r="B31" s="40" t="s">
        <v>168</v>
      </c>
      <c r="C31" s="40" t="s">
        <v>169</v>
      </c>
      <c r="D31" s="40" t="s">
        <v>170</v>
      </c>
      <c r="E31" s="40" t="s">
        <v>171</v>
      </c>
      <c r="F31" s="39" t="str">
        <f t="shared" si="1"/>
        <v>WRONG</v>
      </c>
      <c r="G31" s="39" t="s">
        <v>36</v>
      </c>
      <c r="H31" s="43" t="s">
        <v>48</v>
      </c>
      <c r="I31" s="42" t="s">
        <v>172</v>
      </c>
      <c r="J31" s="41">
        <v>25485.0</v>
      </c>
    </row>
    <row r="32" ht="60.0" customHeight="1">
      <c r="A32" s="39">
        <v>29.0</v>
      </c>
      <c r="B32" s="40" t="s">
        <v>173</v>
      </c>
      <c r="C32" s="40" t="s">
        <v>174</v>
      </c>
      <c r="D32" s="40" t="s">
        <v>175</v>
      </c>
      <c r="E32" s="40" t="s">
        <v>176</v>
      </c>
      <c r="F32" s="39" t="str">
        <f t="shared" si="1"/>
        <v>CORRECT</v>
      </c>
      <c r="G32" s="39" t="s">
        <v>42</v>
      </c>
      <c r="H32" s="41" t="s">
        <v>42</v>
      </c>
      <c r="I32" s="42" t="s">
        <v>177</v>
      </c>
      <c r="J32" s="41">
        <v>27025.0</v>
      </c>
    </row>
    <row r="33" ht="60.0" customHeight="1">
      <c r="A33" s="39">
        <v>30.0</v>
      </c>
      <c r="B33" s="40" t="s">
        <v>178</v>
      </c>
      <c r="C33" s="40" t="s">
        <v>179</v>
      </c>
      <c r="D33" s="40" t="s">
        <v>180</v>
      </c>
      <c r="E33" s="40" t="s">
        <v>181</v>
      </c>
      <c r="F33" s="39" t="str">
        <f t="shared" si="1"/>
        <v>WRONG</v>
      </c>
      <c r="G33" s="39" t="s">
        <v>48</v>
      </c>
      <c r="H33" s="41" t="s">
        <v>36</v>
      </c>
      <c r="I33" s="42" t="s">
        <v>182</v>
      </c>
      <c r="J33" s="41">
        <v>33104.0</v>
      </c>
    </row>
    <row r="34" ht="60.0" customHeight="1">
      <c r="A34" s="39">
        <v>31.0</v>
      </c>
      <c r="B34" s="40" t="s">
        <v>183</v>
      </c>
      <c r="C34" s="40" t="s">
        <v>184</v>
      </c>
      <c r="D34" s="40" t="s">
        <v>185</v>
      </c>
      <c r="E34" s="40" t="s">
        <v>186</v>
      </c>
      <c r="F34" s="39" t="str">
        <f t="shared" si="1"/>
        <v>WRONG</v>
      </c>
      <c r="G34" s="39" t="s">
        <v>42</v>
      </c>
      <c r="H34" s="41" t="s">
        <v>36</v>
      </c>
      <c r="I34" s="42" t="s">
        <v>187</v>
      </c>
      <c r="J34" s="41">
        <v>30222.0</v>
      </c>
    </row>
    <row r="35" ht="60.0" customHeight="1">
      <c r="A35" s="39">
        <v>32.0</v>
      </c>
      <c r="B35" s="40" t="s">
        <v>188</v>
      </c>
      <c r="C35" s="40" t="s">
        <v>189</v>
      </c>
      <c r="D35" s="40" t="s">
        <v>190</v>
      </c>
      <c r="E35" s="40" t="s">
        <v>191</v>
      </c>
      <c r="F35" s="39" t="str">
        <f t="shared" si="1"/>
        <v>CORRECT</v>
      </c>
      <c r="G35" s="39" t="s">
        <v>36</v>
      </c>
      <c r="H35" s="41" t="s">
        <v>36</v>
      </c>
      <c r="I35" s="42" t="s">
        <v>192</v>
      </c>
      <c r="J35" s="41">
        <v>37539.0</v>
      </c>
    </row>
    <row r="36" ht="60.0" customHeight="1">
      <c r="A36" s="39">
        <v>33.0</v>
      </c>
      <c r="B36" s="40" t="s">
        <v>193</v>
      </c>
      <c r="C36" s="40" t="s">
        <v>194</v>
      </c>
      <c r="D36" s="40" t="s">
        <v>195</v>
      </c>
      <c r="E36" s="40" t="s">
        <v>196</v>
      </c>
      <c r="F36" s="39" t="str">
        <f t="shared" si="1"/>
        <v>CORRECT</v>
      </c>
      <c r="G36" s="39" t="s">
        <v>48</v>
      </c>
      <c r="H36" s="43" t="s">
        <v>48</v>
      </c>
      <c r="I36" s="42" t="s">
        <v>197</v>
      </c>
      <c r="J36" s="41">
        <v>31755.0</v>
      </c>
    </row>
    <row r="37" ht="60.0" customHeight="1">
      <c r="A37" s="39">
        <v>34.0</v>
      </c>
      <c r="B37" s="40" t="s">
        <v>198</v>
      </c>
      <c r="C37" s="40" t="s">
        <v>199</v>
      </c>
      <c r="D37" s="40" t="s">
        <v>200</v>
      </c>
      <c r="E37" s="40" t="s">
        <v>201</v>
      </c>
      <c r="F37" s="39" t="str">
        <f t="shared" si="1"/>
        <v>CORRECT</v>
      </c>
      <c r="G37" s="39" t="s">
        <v>36</v>
      </c>
      <c r="H37" s="41" t="s">
        <v>36</v>
      </c>
      <c r="I37" s="42" t="s">
        <v>202</v>
      </c>
      <c r="J37" s="41">
        <v>28810.0</v>
      </c>
    </row>
    <row r="38" ht="60.0" customHeight="1">
      <c r="A38" s="39">
        <v>35.0</v>
      </c>
      <c r="B38" s="40" t="s">
        <v>203</v>
      </c>
      <c r="C38" s="40" t="s">
        <v>204</v>
      </c>
      <c r="D38" s="40" t="s">
        <v>205</v>
      </c>
      <c r="E38" s="40" t="s">
        <v>206</v>
      </c>
      <c r="F38" s="39" t="str">
        <f t="shared" si="1"/>
        <v>WRONG</v>
      </c>
      <c r="G38" s="39" t="s">
        <v>48</v>
      </c>
      <c r="H38" s="41" t="s">
        <v>36</v>
      </c>
      <c r="I38" s="42" t="s">
        <v>207</v>
      </c>
      <c r="J38" s="41">
        <v>29846.0</v>
      </c>
    </row>
    <row r="39" ht="60.0" customHeight="1">
      <c r="A39" s="39">
        <v>36.0</v>
      </c>
      <c r="B39" s="40" t="s">
        <v>208</v>
      </c>
      <c r="C39" s="40" t="s">
        <v>209</v>
      </c>
      <c r="D39" s="40" t="s">
        <v>210</v>
      </c>
      <c r="E39" s="40" t="s">
        <v>211</v>
      </c>
      <c r="F39" s="39" t="str">
        <f t="shared" si="1"/>
        <v>CORRECT</v>
      </c>
      <c r="G39" s="39" t="s">
        <v>36</v>
      </c>
      <c r="H39" s="41" t="s">
        <v>36</v>
      </c>
      <c r="I39" s="42" t="s">
        <v>212</v>
      </c>
      <c r="J39" s="41">
        <v>19821.0</v>
      </c>
    </row>
    <row r="40" ht="60.0" customHeight="1">
      <c r="A40" s="39">
        <v>37.0</v>
      </c>
      <c r="B40" s="40" t="s">
        <v>213</v>
      </c>
      <c r="C40" s="40" t="s">
        <v>214</v>
      </c>
      <c r="D40" s="40" t="s">
        <v>215</v>
      </c>
      <c r="E40" s="40" t="s">
        <v>216</v>
      </c>
      <c r="F40" s="39" t="str">
        <f t="shared" si="1"/>
        <v>WRONG</v>
      </c>
      <c r="G40" s="39" t="s">
        <v>36</v>
      </c>
      <c r="H40" s="41" t="s">
        <v>42</v>
      </c>
      <c r="I40" s="42" t="s">
        <v>217</v>
      </c>
      <c r="J40" s="41">
        <v>23251.0</v>
      </c>
    </row>
    <row r="41" ht="60.0" customHeight="1">
      <c r="A41" s="39">
        <v>38.0</v>
      </c>
      <c r="B41" s="40" t="s">
        <v>218</v>
      </c>
      <c r="C41" s="40" t="s">
        <v>219</v>
      </c>
      <c r="D41" s="40" t="s">
        <v>220</v>
      </c>
      <c r="E41" s="40" t="s">
        <v>221</v>
      </c>
      <c r="F41" s="39" t="str">
        <f t="shared" si="1"/>
        <v>CORRECT</v>
      </c>
      <c r="G41" s="39" t="s">
        <v>36</v>
      </c>
      <c r="H41" s="41" t="s">
        <v>36</v>
      </c>
      <c r="I41" s="42" t="s">
        <v>222</v>
      </c>
      <c r="J41" s="41">
        <v>26796.0</v>
      </c>
    </row>
    <row r="42" ht="60.0" customHeight="1">
      <c r="A42" s="39">
        <v>39.0</v>
      </c>
      <c r="B42" s="40" t="s">
        <v>223</v>
      </c>
      <c r="C42" s="40" t="s">
        <v>224</v>
      </c>
      <c r="D42" s="40" t="s">
        <v>225</v>
      </c>
      <c r="E42" s="40" t="s">
        <v>226</v>
      </c>
      <c r="F42" s="39" t="str">
        <f t="shared" si="1"/>
        <v>WRONG</v>
      </c>
      <c r="G42" s="39" t="s">
        <v>42</v>
      </c>
      <c r="H42" s="41" t="s">
        <v>36</v>
      </c>
      <c r="I42" s="42" t="s">
        <v>227</v>
      </c>
      <c r="J42" s="41">
        <v>17701.0</v>
      </c>
    </row>
    <row r="43" ht="60.0" customHeight="1">
      <c r="A43" s="39">
        <v>40.0</v>
      </c>
      <c r="B43" s="40" t="s">
        <v>228</v>
      </c>
      <c r="C43" s="40" t="s">
        <v>229</v>
      </c>
      <c r="D43" s="40" t="s">
        <v>230</v>
      </c>
      <c r="E43" s="40" t="s">
        <v>231</v>
      </c>
      <c r="F43" s="39" t="str">
        <f t="shared" si="1"/>
        <v>CORRECT</v>
      </c>
      <c r="G43" s="39" t="s">
        <v>48</v>
      </c>
      <c r="H43" s="41" t="s">
        <v>48</v>
      </c>
      <c r="I43" s="42" t="s">
        <v>232</v>
      </c>
      <c r="J43" s="41">
        <v>33703.0</v>
      </c>
    </row>
    <row r="44" ht="60.0" customHeight="1">
      <c r="A44" s="39">
        <v>41.0</v>
      </c>
      <c r="B44" s="40" t="s">
        <v>233</v>
      </c>
      <c r="C44" s="40" t="s">
        <v>234</v>
      </c>
      <c r="D44" s="40" t="s">
        <v>235</v>
      </c>
      <c r="E44" s="40" t="s">
        <v>236</v>
      </c>
      <c r="F44" s="39" t="str">
        <f t="shared" si="1"/>
        <v>CORRECT</v>
      </c>
      <c r="G44" s="39" t="s">
        <v>42</v>
      </c>
      <c r="H44" s="41" t="s">
        <v>42</v>
      </c>
      <c r="I44" s="42" t="s">
        <v>237</v>
      </c>
      <c r="J44" s="41">
        <v>11579.0</v>
      </c>
    </row>
    <row r="45" ht="60.0" customHeight="1">
      <c r="A45" s="39">
        <v>42.0</v>
      </c>
      <c r="B45" s="40" t="s">
        <v>238</v>
      </c>
      <c r="C45" s="40" t="s">
        <v>239</v>
      </c>
      <c r="D45" s="40" t="s">
        <v>240</v>
      </c>
      <c r="E45" s="40" t="s">
        <v>241</v>
      </c>
      <c r="F45" s="39" t="str">
        <f t="shared" si="1"/>
        <v>WRONG</v>
      </c>
      <c r="G45" s="39" t="s">
        <v>36</v>
      </c>
      <c r="H45" s="41" t="s">
        <v>42</v>
      </c>
      <c r="I45" s="42" t="s">
        <v>242</v>
      </c>
      <c r="J45" s="41">
        <v>34528.0</v>
      </c>
    </row>
    <row r="46" ht="60.0" customHeight="1">
      <c r="A46" s="39">
        <v>43.0</v>
      </c>
      <c r="B46" s="40" t="s">
        <v>243</v>
      </c>
      <c r="C46" s="40" t="s">
        <v>244</v>
      </c>
      <c r="D46" s="40" t="s">
        <v>245</v>
      </c>
      <c r="E46" s="40" t="s">
        <v>246</v>
      </c>
      <c r="F46" s="39" t="str">
        <f t="shared" si="1"/>
        <v>CORRECT</v>
      </c>
      <c r="G46" s="39" t="s">
        <v>48</v>
      </c>
      <c r="H46" s="41" t="s">
        <v>48</v>
      </c>
      <c r="I46" s="42" t="s">
        <v>247</v>
      </c>
      <c r="J46" s="41">
        <v>21102.0</v>
      </c>
    </row>
    <row r="47" ht="60.0" customHeight="1">
      <c r="A47" s="39">
        <v>44.0</v>
      </c>
      <c r="B47" s="40" t="s">
        <v>248</v>
      </c>
      <c r="C47" s="40" t="s">
        <v>249</v>
      </c>
      <c r="D47" s="40" t="s">
        <v>250</v>
      </c>
      <c r="E47" s="40" t="s">
        <v>251</v>
      </c>
      <c r="F47" s="39" t="str">
        <f t="shared" si="1"/>
        <v>WRONG</v>
      </c>
      <c r="G47" s="39" t="s">
        <v>36</v>
      </c>
      <c r="H47" s="41" t="s">
        <v>48</v>
      </c>
      <c r="I47" s="42" t="s">
        <v>252</v>
      </c>
      <c r="J47" s="41">
        <v>22671.0</v>
      </c>
    </row>
    <row r="48" ht="60.0" customHeight="1">
      <c r="A48" s="39">
        <v>45.0</v>
      </c>
      <c r="B48" s="40" t="s">
        <v>253</v>
      </c>
      <c r="C48" s="40" t="s">
        <v>254</v>
      </c>
      <c r="D48" s="40" t="s">
        <v>255</v>
      </c>
      <c r="E48" s="40" t="s">
        <v>256</v>
      </c>
      <c r="F48" s="39" t="str">
        <f t="shared" si="1"/>
        <v>CORRECT</v>
      </c>
      <c r="G48" s="39" t="s">
        <v>36</v>
      </c>
      <c r="H48" s="41" t="s">
        <v>36</v>
      </c>
      <c r="I48" s="42" t="s">
        <v>257</v>
      </c>
      <c r="J48" s="41">
        <v>31329.0</v>
      </c>
    </row>
    <row r="49" ht="60.0" customHeight="1">
      <c r="A49" s="39">
        <v>46.0</v>
      </c>
      <c r="B49" s="40" t="s">
        <v>258</v>
      </c>
      <c r="C49" s="40" t="s">
        <v>39</v>
      </c>
      <c r="D49" s="40" t="s">
        <v>259</v>
      </c>
      <c r="E49" s="40" t="s">
        <v>260</v>
      </c>
      <c r="F49" s="39" t="str">
        <f t="shared" si="1"/>
        <v>CORRECT</v>
      </c>
      <c r="G49" s="39" t="s">
        <v>36</v>
      </c>
      <c r="H49" s="41" t="s">
        <v>36</v>
      </c>
      <c r="I49" s="42" t="s">
        <v>261</v>
      </c>
      <c r="J49" s="41">
        <v>25835.0</v>
      </c>
    </row>
    <row r="50">
      <c r="A50" s="44" t="s">
        <v>262</v>
      </c>
      <c r="B50" s="2"/>
      <c r="C50" s="2"/>
      <c r="D50" s="2"/>
      <c r="E50" s="3"/>
      <c r="F50" s="45">
        <f>COUNTIFS(F4:F49,"CORRECT")</f>
        <v>32</v>
      </c>
      <c r="G50" s="46"/>
      <c r="H50" s="46"/>
      <c r="J50" s="47">
        <f>AVERAGE(J4:J49)</f>
        <v>27110.1087</v>
      </c>
    </row>
    <row r="51">
      <c r="A51" s="48" t="s">
        <v>263</v>
      </c>
      <c r="B51" s="2"/>
      <c r="C51" s="2"/>
      <c r="D51" s="2"/>
      <c r="E51" s="3"/>
      <c r="F51" s="49">
        <v>46.0</v>
      </c>
      <c r="G51" s="46"/>
      <c r="H51" s="46"/>
    </row>
    <row r="52">
      <c r="A52" s="44" t="s">
        <v>264</v>
      </c>
      <c r="B52" s="2"/>
      <c r="C52" s="2"/>
      <c r="D52" s="2"/>
      <c r="E52" s="3"/>
      <c r="F52" s="50">
        <f>F50/F51</f>
        <v>0.6956521739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33556.0</v>
      </c>
    </row>
    <row r="5" ht="60.0" customHeight="1">
      <c r="A5" s="39">
        <v>2.0</v>
      </c>
      <c r="B5" s="40" t="s">
        <v>38</v>
      </c>
      <c r="C5" s="40" t="s">
        <v>39</v>
      </c>
      <c r="D5" s="40" t="s">
        <v>40</v>
      </c>
      <c r="E5" s="40" t="s">
        <v>41</v>
      </c>
      <c r="F5" s="39" t="str">
        <f t="shared" si="1"/>
        <v>CORRECT</v>
      </c>
      <c r="G5" s="39" t="s">
        <v>42</v>
      </c>
      <c r="H5" s="43" t="s">
        <v>42</v>
      </c>
      <c r="I5" s="42" t="s">
        <v>267</v>
      </c>
      <c r="J5" s="41">
        <v>30104.0</v>
      </c>
    </row>
    <row r="6" ht="60.0" customHeight="1">
      <c r="A6" s="39">
        <v>3.0</v>
      </c>
      <c r="B6" s="40" t="s">
        <v>44</v>
      </c>
      <c r="C6" s="40" t="s">
        <v>45</v>
      </c>
      <c r="D6" s="40" t="s">
        <v>46</v>
      </c>
      <c r="E6" s="40" t="s">
        <v>47</v>
      </c>
      <c r="F6" s="39" t="str">
        <f t="shared" si="1"/>
        <v>CORRECT</v>
      </c>
      <c r="G6" s="39" t="s">
        <v>48</v>
      </c>
      <c r="H6" s="41" t="s">
        <v>48</v>
      </c>
      <c r="I6" s="42" t="s">
        <v>49</v>
      </c>
      <c r="J6" s="41">
        <v>29810.0</v>
      </c>
    </row>
    <row r="7" ht="60.0" customHeight="1">
      <c r="A7" s="39">
        <v>4.0</v>
      </c>
      <c r="B7" s="40" t="s">
        <v>50</v>
      </c>
      <c r="C7" s="40" t="s">
        <v>51</v>
      </c>
      <c r="D7" s="40" t="s">
        <v>52</v>
      </c>
      <c r="E7" s="40" t="s">
        <v>53</v>
      </c>
      <c r="F7" s="39" t="str">
        <f t="shared" si="1"/>
        <v>CORRECT</v>
      </c>
      <c r="G7" s="39" t="s">
        <v>42</v>
      </c>
      <c r="H7" s="41" t="s">
        <v>42</v>
      </c>
      <c r="I7" s="42" t="s">
        <v>54</v>
      </c>
      <c r="J7" s="41">
        <v>19978.0</v>
      </c>
    </row>
    <row r="8" ht="60.0" customHeight="1">
      <c r="A8" s="39">
        <v>5.0</v>
      </c>
      <c r="B8" s="40" t="s">
        <v>55</v>
      </c>
      <c r="C8" s="40" t="s">
        <v>56</v>
      </c>
      <c r="D8" s="40" t="s">
        <v>57</v>
      </c>
      <c r="E8" s="40" t="s">
        <v>58</v>
      </c>
      <c r="F8" s="39" t="str">
        <f t="shared" si="1"/>
        <v>CORRECT</v>
      </c>
      <c r="G8" s="39" t="s">
        <v>48</v>
      </c>
      <c r="H8" s="43" t="s">
        <v>48</v>
      </c>
      <c r="I8" s="42" t="s">
        <v>59</v>
      </c>
      <c r="J8" s="41">
        <v>49637.0</v>
      </c>
    </row>
    <row r="9" ht="60.0" customHeight="1">
      <c r="A9" s="39">
        <v>6.0</v>
      </c>
      <c r="B9" s="40" t="s">
        <v>60</v>
      </c>
      <c r="C9" s="40" t="s">
        <v>61</v>
      </c>
      <c r="D9" s="40" t="s">
        <v>62</v>
      </c>
      <c r="E9" s="40" t="s">
        <v>63</v>
      </c>
      <c r="F9" s="39" t="str">
        <f t="shared" si="1"/>
        <v>CORRECT</v>
      </c>
      <c r="G9" s="39" t="s">
        <v>42</v>
      </c>
      <c r="H9" s="41" t="s">
        <v>42</v>
      </c>
      <c r="I9" s="42" t="s">
        <v>64</v>
      </c>
      <c r="J9" s="41">
        <v>21525.0</v>
      </c>
    </row>
    <row r="10" ht="60.0" customHeight="1">
      <c r="A10" s="39">
        <v>7.0</v>
      </c>
      <c r="B10" s="40" t="s">
        <v>65</v>
      </c>
      <c r="C10" s="40" t="s">
        <v>66</v>
      </c>
      <c r="D10" s="40" t="s">
        <v>67</v>
      </c>
      <c r="E10" s="40" t="s">
        <v>68</v>
      </c>
      <c r="F10" s="39" t="str">
        <f t="shared" si="1"/>
        <v>WRONG</v>
      </c>
      <c r="G10" s="39" t="s">
        <v>42</v>
      </c>
      <c r="H10" s="41" t="s">
        <v>36</v>
      </c>
      <c r="I10" s="42" t="s">
        <v>268</v>
      </c>
      <c r="J10" s="41">
        <v>30459.0</v>
      </c>
    </row>
    <row r="11" ht="60.0" customHeight="1">
      <c r="A11" s="39">
        <v>8.0</v>
      </c>
      <c r="B11" s="40" t="s">
        <v>70</v>
      </c>
      <c r="C11" s="40" t="s">
        <v>71</v>
      </c>
      <c r="D11" s="40" t="s">
        <v>72</v>
      </c>
      <c r="E11" s="40" t="s">
        <v>73</v>
      </c>
      <c r="F11" s="39" t="str">
        <f t="shared" si="1"/>
        <v>WRONG</v>
      </c>
      <c r="G11" s="39" t="s">
        <v>48</v>
      </c>
      <c r="H11" s="41" t="s">
        <v>42</v>
      </c>
      <c r="I11" s="42" t="s">
        <v>74</v>
      </c>
      <c r="J11" s="41">
        <v>28321.0</v>
      </c>
    </row>
    <row r="12" ht="60.0" customHeight="1">
      <c r="A12" s="39">
        <v>9.0</v>
      </c>
      <c r="B12" s="40" t="s">
        <v>75</v>
      </c>
      <c r="C12" s="40" t="s">
        <v>76</v>
      </c>
      <c r="D12" s="40" t="s">
        <v>77</v>
      </c>
      <c r="E12" s="40" t="s">
        <v>78</v>
      </c>
      <c r="F12" s="39" t="str">
        <f t="shared" si="1"/>
        <v>WRONG</v>
      </c>
      <c r="G12" s="39" t="s">
        <v>42</v>
      </c>
      <c r="H12" s="41" t="s">
        <v>48</v>
      </c>
      <c r="I12" s="42" t="s">
        <v>269</v>
      </c>
      <c r="J12" s="41">
        <v>27704.0</v>
      </c>
    </row>
    <row r="13" ht="60.0" customHeight="1">
      <c r="A13" s="39">
        <v>10.0</v>
      </c>
      <c r="B13" s="40" t="s">
        <v>80</v>
      </c>
      <c r="C13" s="40" t="s">
        <v>81</v>
      </c>
      <c r="D13" s="40" t="s">
        <v>82</v>
      </c>
      <c r="E13" s="40" t="s">
        <v>83</v>
      </c>
      <c r="F13" s="39" t="str">
        <f t="shared" si="1"/>
        <v>CORRECT</v>
      </c>
      <c r="G13" s="39" t="s">
        <v>48</v>
      </c>
      <c r="H13" s="41" t="s">
        <v>48</v>
      </c>
      <c r="I13" s="42" t="s">
        <v>270</v>
      </c>
      <c r="J13" s="41">
        <v>44980.0</v>
      </c>
    </row>
    <row r="14" ht="60.0" customHeight="1">
      <c r="A14" s="39">
        <v>11.0</v>
      </c>
      <c r="B14" s="40" t="s">
        <v>85</v>
      </c>
      <c r="C14" s="40" t="s">
        <v>86</v>
      </c>
      <c r="D14" s="40" t="s">
        <v>87</v>
      </c>
      <c r="E14" s="40" t="s">
        <v>88</v>
      </c>
      <c r="F14" s="39" t="str">
        <f t="shared" si="1"/>
        <v>CORRECT</v>
      </c>
      <c r="G14" s="39" t="s">
        <v>42</v>
      </c>
      <c r="H14" s="41" t="s">
        <v>42</v>
      </c>
      <c r="I14" s="42" t="s">
        <v>271</v>
      </c>
      <c r="J14" s="41">
        <v>31921.0</v>
      </c>
    </row>
    <row r="15" ht="60.0" customHeight="1">
      <c r="A15" s="39">
        <v>12.0</v>
      </c>
      <c r="B15" s="40" t="s">
        <v>90</v>
      </c>
      <c r="C15" s="40" t="s">
        <v>91</v>
      </c>
      <c r="D15" s="40" t="s">
        <v>92</v>
      </c>
      <c r="E15" s="40" t="s">
        <v>93</v>
      </c>
      <c r="F15" s="39" t="str">
        <f t="shared" si="1"/>
        <v>CORRECT</v>
      </c>
      <c r="G15" s="39" t="s">
        <v>48</v>
      </c>
      <c r="H15" s="41" t="s">
        <v>48</v>
      </c>
      <c r="I15" s="42" t="s">
        <v>272</v>
      </c>
      <c r="J15" s="41">
        <v>34551.0</v>
      </c>
    </row>
    <row r="16" ht="60.0" customHeight="1">
      <c r="A16" s="39">
        <v>13.0</v>
      </c>
      <c r="B16" s="40" t="s">
        <v>95</v>
      </c>
      <c r="C16" s="40" t="s">
        <v>96</v>
      </c>
      <c r="D16" s="40" t="s">
        <v>97</v>
      </c>
      <c r="E16" s="40" t="s">
        <v>98</v>
      </c>
      <c r="F16" s="39" t="str">
        <f t="shared" si="1"/>
        <v>CORRECT</v>
      </c>
      <c r="G16" s="39" t="s">
        <v>36</v>
      </c>
      <c r="H16" s="41" t="s">
        <v>36</v>
      </c>
      <c r="I16" s="42" t="s">
        <v>99</v>
      </c>
      <c r="J16" s="41">
        <v>23790.0</v>
      </c>
    </row>
    <row r="17" ht="60.0" customHeight="1">
      <c r="A17" s="39">
        <v>14.0</v>
      </c>
      <c r="B17" s="40" t="s">
        <v>100</v>
      </c>
      <c r="C17" s="40" t="s">
        <v>101</v>
      </c>
      <c r="D17" s="40" t="s">
        <v>102</v>
      </c>
      <c r="E17" s="40" t="s">
        <v>103</v>
      </c>
      <c r="F17" s="39" t="str">
        <f t="shared" si="1"/>
        <v>WRONG</v>
      </c>
      <c r="G17" s="39" t="s">
        <v>36</v>
      </c>
      <c r="H17" s="41" t="s">
        <v>48</v>
      </c>
      <c r="I17" s="42" t="s">
        <v>104</v>
      </c>
      <c r="J17" s="41">
        <v>28798.0</v>
      </c>
    </row>
    <row r="18" ht="60.0" customHeight="1">
      <c r="A18" s="39">
        <v>15.0</v>
      </c>
      <c r="B18" s="40" t="s">
        <v>105</v>
      </c>
      <c r="C18" s="40" t="s">
        <v>106</v>
      </c>
      <c r="D18" s="40" t="s">
        <v>107</v>
      </c>
      <c r="E18" s="40" t="s">
        <v>108</v>
      </c>
      <c r="F18" s="39" t="str">
        <f t="shared" si="1"/>
        <v>CORRECT</v>
      </c>
      <c r="G18" s="39" t="s">
        <v>48</v>
      </c>
      <c r="H18" s="43" t="s">
        <v>48</v>
      </c>
      <c r="I18" s="42" t="s">
        <v>273</v>
      </c>
      <c r="J18" s="41">
        <v>42323.0</v>
      </c>
    </row>
    <row r="19" ht="60.0" customHeight="1">
      <c r="A19" s="39">
        <v>16.0</v>
      </c>
      <c r="B19" s="40" t="s">
        <v>110</v>
      </c>
      <c r="C19" s="40" t="s">
        <v>111</v>
      </c>
      <c r="D19" s="40" t="s">
        <v>112</v>
      </c>
      <c r="E19" s="40" t="s">
        <v>113</v>
      </c>
      <c r="F19" s="39" t="str">
        <f t="shared" si="1"/>
        <v>CORRECT</v>
      </c>
      <c r="G19" s="39" t="s">
        <v>48</v>
      </c>
      <c r="H19" s="43" t="s">
        <v>48</v>
      </c>
      <c r="I19" s="42" t="s">
        <v>114</v>
      </c>
      <c r="J19" s="41">
        <v>23684.0</v>
      </c>
    </row>
    <row r="20" ht="60.0" customHeight="1">
      <c r="A20" s="39">
        <v>17.0</v>
      </c>
      <c r="B20" s="40" t="s">
        <v>115</v>
      </c>
      <c r="C20" s="40" t="s">
        <v>116</v>
      </c>
      <c r="D20" s="40" t="s">
        <v>117</v>
      </c>
      <c r="E20" s="40" t="s">
        <v>118</v>
      </c>
      <c r="F20" s="39" t="str">
        <f t="shared" si="1"/>
        <v>WRONG</v>
      </c>
      <c r="G20" s="39" t="s">
        <v>42</v>
      </c>
      <c r="H20" s="41" t="s">
        <v>36</v>
      </c>
      <c r="I20" s="42" t="s">
        <v>119</v>
      </c>
      <c r="J20" s="41">
        <v>30431.0</v>
      </c>
    </row>
    <row r="21" ht="60.0" customHeight="1">
      <c r="A21" s="39">
        <v>18.0</v>
      </c>
      <c r="B21" s="40" t="s">
        <v>120</v>
      </c>
      <c r="C21" s="40" t="s">
        <v>121</v>
      </c>
      <c r="D21" s="40" t="s">
        <v>122</v>
      </c>
      <c r="E21" s="40" t="s">
        <v>123</v>
      </c>
      <c r="F21" s="39" t="str">
        <f t="shared" si="1"/>
        <v>CORRECT</v>
      </c>
      <c r="G21" s="39" t="s">
        <v>42</v>
      </c>
      <c r="H21" s="41" t="s">
        <v>42</v>
      </c>
      <c r="I21" s="42" t="s">
        <v>274</v>
      </c>
      <c r="J21" s="41">
        <v>23376.0</v>
      </c>
    </row>
    <row r="22" ht="60.0" customHeight="1">
      <c r="A22" s="39">
        <v>19.0</v>
      </c>
      <c r="B22" s="40" t="s">
        <v>125</v>
      </c>
      <c r="C22" s="40" t="s">
        <v>126</v>
      </c>
      <c r="D22" s="40" t="s">
        <v>127</v>
      </c>
      <c r="E22" s="40" t="s">
        <v>128</v>
      </c>
      <c r="F22" s="39" t="str">
        <f t="shared" si="1"/>
        <v>WRONG</v>
      </c>
      <c r="G22" s="39" t="s">
        <v>36</v>
      </c>
      <c r="H22" s="43" t="s">
        <v>48</v>
      </c>
      <c r="I22" s="42" t="s">
        <v>129</v>
      </c>
      <c r="J22" s="41">
        <v>35723.0</v>
      </c>
    </row>
    <row r="23" ht="60.0" customHeight="1">
      <c r="A23" s="39">
        <v>20.0</v>
      </c>
      <c r="B23" s="40" t="s">
        <v>130</v>
      </c>
      <c r="C23" s="40" t="s">
        <v>131</v>
      </c>
      <c r="D23" s="40" t="s">
        <v>132</v>
      </c>
      <c r="E23" s="40" t="s">
        <v>133</v>
      </c>
      <c r="F23" s="39" t="str">
        <f t="shared" si="1"/>
        <v>CORRECT</v>
      </c>
      <c r="G23" s="39" t="s">
        <v>42</v>
      </c>
      <c r="H23" s="41" t="s">
        <v>42</v>
      </c>
      <c r="I23" s="42" t="s">
        <v>134</v>
      </c>
      <c r="J23" s="41">
        <v>14587.0</v>
      </c>
    </row>
    <row r="24" ht="60.0" customHeight="1">
      <c r="A24" s="39">
        <v>21.0</v>
      </c>
      <c r="B24" s="40" t="s">
        <v>135</v>
      </c>
      <c r="C24" s="40" t="s">
        <v>136</v>
      </c>
      <c r="D24" s="40" t="s">
        <v>137</v>
      </c>
      <c r="E24" s="40" t="s">
        <v>138</v>
      </c>
      <c r="F24" s="39" t="str">
        <f t="shared" si="1"/>
        <v>WRONG</v>
      </c>
      <c r="G24" s="39" t="s">
        <v>42</v>
      </c>
      <c r="H24" s="41" t="s">
        <v>36</v>
      </c>
      <c r="I24" s="42" t="s">
        <v>139</v>
      </c>
      <c r="J24" s="41">
        <v>20849.0</v>
      </c>
    </row>
    <row r="25" ht="60.0" customHeight="1">
      <c r="A25" s="39">
        <v>22.0</v>
      </c>
      <c r="B25" s="40" t="s">
        <v>140</v>
      </c>
      <c r="C25" s="40" t="s">
        <v>141</v>
      </c>
      <c r="D25" s="40" t="s">
        <v>142</v>
      </c>
      <c r="E25" s="40" t="s">
        <v>143</v>
      </c>
      <c r="F25" s="39" t="str">
        <f t="shared" si="1"/>
        <v>CORRECT</v>
      </c>
      <c r="G25" s="39" t="s">
        <v>42</v>
      </c>
      <c r="H25" s="41" t="s">
        <v>42</v>
      </c>
      <c r="I25" s="42" t="s">
        <v>144</v>
      </c>
      <c r="J25" s="41">
        <v>18546.0</v>
      </c>
    </row>
    <row r="26" ht="60.0" customHeight="1">
      <c r="A26" s="39">
        <v>23.0</v>
      </c>
      <c r="B26" s="40" t="s">
        <v>145</v>
      </c>
      <c r="C26" s="40" t="s">
        <v>146</v>
      </c>
      <c r="D26" s="40" t="s">
        <v>147</v>
      </c>
      <c r="E26" s="40" t="s">
        <v>148</v>
      </c>
      <c r="F26" s="39" t="str">
        <f t="shared" si="1"/>
        <v>CORRECT</v>
      </c>
      <c r="G26" s="39" t="s">
        <v>48</v>
      </c>
      <c r="H26" s="41" t="s">
        <v>48</v>
      </c>
      <c r="I26" s="42" t="s">
        <v>149</v>
      </c>
      <c r="J26" s="41">
        <v>17517.0</v>
      </c>
    </row>
    <row r="27" ht="60.0" customHeight="1">
      <c r="A27" s="39">
        <v>24.0</v>
      </c>
      <c r="B27" s="40" t="s">
        <v>150</v>
      </c>
      <c r="C27" s="40" t="s">
        <v>151</v>
      </c>
      <c r="D27" s="40" t="s">
        <v>152</v>
      </c>
      <c r="E27" s="40" t="s">
        <v>153</v>
      </c>
      <c r="F27" s="39" t="str">
        <f t="shared" si="1"/>
        <v>CORRECT</v>
      </c>
      <c r="G27" s="39" t="s">
        <v>36</v>
      </c>
      <c r="H27" s="41" t="s">
        <v>36</v>
      </c>
      <c r="I27" s="42" t="s">
        <v>154</v>
      </c>
      <c r="J27" s="41">
        <v>19668.0</v>
      </c>
    </row>
    <row r="28" ht="60.0" customHeight="1">
      <c r="A28" s="39">
        <v>25.0</v>
      </c>
      <c r="B28" s="40" t="s">
        <v>155</v>
      </c>
      <c r="C28" s="40" t="s">
        <v>151</v>
      </c>
      <c r="D28" s="40" t="s">
        <v>156</v>
      </c>
      <c r="E28" s="40" t="s">
        <v>153</v>
      </c>
      <c r="F28" s="39" t="str">
        <f t="shared" si="1"/>
        <v>CORRECT</v>
      </c>
      <c r="G28" s="39" t="s">
        <v>48</v>
      </c>
      <c r="H28" s="43" t="s">
        <v>48</v>
      </c>
      <c r="I28" s="42" t="s">
        <v>275</v>
      </c>
      <c r="J28" s="41">
        <v>15623.0</v>
      </c>
    </row>
    <row r="29" ht="60.0" customHeight="1">
      <c r="A29" s="39">
        <v>26.0</v>
      </c>
      <c r="B29" s="40" t="s">
        <v>158</v>
      </c>
      <c r="C29" s="40" t="s">
        <v>159</v>
      </c>
      <c r="D29" s="40" t="s">
        <v>160</v>
      </c>
      <c r="E29" s="40" t="s">
        <v>161</v>
      </c>
      <c r="F29" s="39" t="str">
        <f t="shared" si="1"/>
        <v>WRONG</v>
      </c>
      <c r="G29" s="39" t="s">
        <v>36</v>
      </c>
      <c r="H29" s="41" t="s">
        <v>48</v>
      </c>
      <c r="I29" s="42" t="s">
        <v>276</v>
      </c>
      <c r="J29" s="41">
        <v>23096.0</v>
      </c>
    </row>
    <row r="30" ht="60.0" customHeight="1">
      <c r="A30" s="39">
        <v>27.0</v>
      </c>
      <c r="B30" s="40" t="s">
        <v>163</v>
      </c>
      <c r="C30" s="40" t="s">
        <v>164</v>
      </c>
      <c r="D30" s="40" t="s">
        <v>165</v>
      </c>
      <c r="E30" s="40" t="s">
        <v>166</v>
      </c>
      <c r="F30" s="39" t="str">
        <f t="shared" si="1"/>
        <v>CORRECT</v>
      </c>
      <c r="G30" s="39" t="s">
        <v>42</v>
      </c>
      <c r="H30" s="41" t="s">
        <v>42</v>
      </c>
      <c r="I30" s="42" t="s">
        <v>167</v>
      </c>
      <c r="J30" s="41">
        <v>28454.0</v>
      </c>
    </row>
    <row r="31" ht="60.0" customHeight="1">
      <c r="A31" s="39">
        <v>28.0</v>
      </c>
      <c r="B31" s="40" t="s">
        <v>168</v>
      </c>
      <c r="C31" s="40" t="s">
        <v>169</v>
      </c>
      <c r="D31" s="40" t="s">
        <v>170</v>
      </c>
      <c r="E31" s="40" t="s">
        <v>171</v>
      </c>
      <c r="F31" s="39" t="str">
        <f t="shared" si="1"/>
        <v>WRONG</v>
      </c>
      <c r="G31" s="39" t="s">
        <v>36</v>
      </c>
      <c r="H31" s="43" t="s">
        <v>48</v>
      </c>
      <c r="I31" s="42" t="s">
        <v>172</v>
      </c>
      <c r="J31" s="41">
        <v>22932.0</v>
      </c>
    </row>
    <row r="32" ht="60.0" customHeight="1">
      <c r="A32" s="39">
        <v>29.0</v>
      </c>
      <c r="B32" s="40" t="s">
        <v>173</v>
      </c>
      <c r="C32" s="40" t="s">
        <v>174</v>
      </c>
      <c r="D32" s="40" t="s">
        <v>175</v>
      </c>
      <c r="E32" s="40" t="s">
        <v>176</v>
      </c>
      <c r="F32" s="39" t="str">
        <f t="shared" si="1"/>
        <v>CORRECT</v>
      </c>
      <c r="G32" s="39" t="s">
        <v>42</v>
      </c>
      <c r="H32" s="41" t="s">
        <v>42</v>
      </c>
      <c r="I32" s="42" t="s">
        <v>177</v>
      </c>
      <c r="J32" s="41">
        <v>26595.0</v>
      </c>
    </row>
    <row r="33" ht="60.0" customHeight="1">
      <c r="A33" s="39">
        <v>30.0</v>
      </c>
      <c r="B33" s="40" t="s">
        <v>178</v>
      </c>
      <c r="C33" s="40" t="s">
        <v>179</v>
      </c>
      <c r="D33" s="40" t="s">
        <v>180</v>
      </c>
      <c r="E33" s="40" t="s">
        <v>181</v>
      </c>
      <c r="F33" s="39" t="str">
        <f t="shared" si="1"/>
        <v>WRONG</v>
      </c>
      <c r="G33" s="39" t="s">
        <v>48</v>
      </c>
      <c r="H33" s="41" t="s">
        <v>36</v>
      </c>
      <c r="I33" s="42" t="s">
        <v>182</v>
      </c>
      <c r="J33" s="41">
        <v>33082.0</v>
      </c>
    </row>
    <row r="34" ht="60.0" customHeight="1">
      <c r="A34" s="39">
        <v>31.0</v>
      </c>
      <c r="B34" s="40" t="s">
        <v>183</v>
      </c>
      <c r="C34" s="40" t="s">
        <v>184</v>
      </c>
      <c r="D34" s="40" t="s">
        <v>185</v>
      </c>
      <c r="E34" s="40" t="s">
        <v>186</v>
      </c>
      <c r="F34" s="39" t="str">
        <f t="shared" si="1"/>
        <v>WRONG</v>
      </c>
      <c r="G34" s="39" t="s">
        <v>42</v>
      </c>
      <c r="H34" s="41" t="s">
        <v>36</v>
      </c>
      <c r="I34" s="42" t="s">
        <v>187</v>
      </c>
      <c r="J34" s="41">
        <v>29949.0</v>
      </c>
    </row>
    <row r="35" ht="60.0" customHeight="1">
      <c r="A35" s="39">
        <v>32.0</v>
      </c>
      <c r="B35" s="40" t="s">
        <v>188</v>
      </c>
      <c r="C35" s="40" t="s">
        <v>189</v>
      </c>
      <c r="D35" s="40" t="s">
        <v>190</v>
      </c>
      <c r="E35" s="40" t="s">
        <v>191</v>
      </c>
      <c r="F35" s="39" t="str">
        <f t="shared" si="1"/>
        <v>CORRECT</v>
      </c>
      <c r="G35" s="39" t="s">
        <v>36</v>
      </c>
      <c r="H35" s="41" t="s">
        <v>36</v>
      </c>
      <c r="I35" s="42" t="s">
        <v>192</v>
      </c>
      <c r="J35" s="41">
        <v>36901.0</v>
      </c>
    </row>
    <row r="36" ht="60.0" customHeight="1">
      <c r="A36" s="39">
        <v>33.0</v>
      </c>
      <c r="B36" s="40" t="s">
        <v>193</v>
      </c>
      <c r="C36" s="40" t="s">
        <v>194</v>
      </c>
      <c r="D36" s="40" t="s">
        <v>195</v>
      </c>
      <c r="E36" s="40" t="s">
        <v>196</v>
      </c>
      <c r="F36" s="39" t="str">
        <f t="shared" si="1"/>
        <v>CORRECT</v>
      </c>
      <c r="G36" s="39" t="s">
        <v>48</v>
      </c>
      <c r="H36" s="43" t="s">
        <v>48</v>
      </c>
      <c r="I36" s="42" t="s">
        <v>197</v>
      </c>
      <c r="J36" s="41">
        <v>31070.0</v>
      </c>
    </row>
    <row r="37" ht="60.0" customHeight="1">
      <c r="A37" s="39">
        <v>34.0</v>
      </c>
      <c r="B37" s="40" t="s">
        <v>198</v>
      </c>
      <c r="C37" s="40" t="s">
        <v>199</v>
      </c>
      <c r="D37" s="40" t="s">
        <v>200</v>
      </c>
      <c r="E37" s="40" t="s">
        <v>201</v>
      </c>
      <c r="F37" s="39" t="str">
        <f t="shared" si="1"/>
        <v>CORRECT</v>
      </c>
      <c r="G37" s="39" t="s">
        <v>36</v>
      </c>
      <c r="H37" s="41" t="s">
        <v>36</v>
      </c>
      <c r="I37" s="42" t="s">
        <v>202</v>
      </c>
      <c r="J37" s="41">
        <v>28415.0</v>
      </c>
    </row>
    <row r="38" ht="60.0" customHeight="1">
      <c r="A38" s="39">
        <v>35.0</v>
      </c>
      <c r="B38" s="40" t="s">
        <v>203</v>
      </c>
      <c r="C38" s="40" t="s">
        <v>204</v>
      </c>
      <c r="D38" s="40" t="s">
        <v>205</v>
      </c>
      <c r="E38" s="40" t="s">
        <v>206</v>
      </c>
      <c r="F38" s="39" t="str">
        <f t="shared" si="1"/>
        <v>WRONG</v>
      </c>
      <c r="G38" s="39" t="s">
        <v>48</v>
      </c>
      <c r="H38" s="41" t="s">
        <v>36</v>
      </c>
      <c r="I38" s="42" t="s">
        <v>207</v>
      </c>
      <c r="J38" s="41">
        <v>29818.0</v>
      </c>
    </row>
    <row r="39" ht="60.0" customHeight="1">
      <c r="A39" s="39">
        <v>36.0</v>
      </c>
      <c r="B39" s="40" t="s">
        <v>208</v>
      </c>
      <c r="C39" s="40" t="s">
        <v>209</v>
      </c>
      <c r="D39" s="40" t="s">
        <v>210</v>
      </c>
      <c r="E39" s="40" t="s">
        <v>211</v>
      </c>
      <c r="F39" s="39" t="str">
        <f t="shared" si="1"/>
        <v>CORRECT</v>
      </c>
      <c r="G39" s="39" t="s">
        <v>36</v>
      </c>
      <c r="H39" s="41" t="s">
        <v>36</v>
      </c>
      <c r="I39" s="42" t="s">
        <v>212</v>
      </c>
      <c r="J39" s="41">
        <v>19802.0</v>
      </c>
    </row>
    <row r="40" ht="60.0" customHeight="1">
      <c r="A40" s="39">
        <v>37.0</v>
      </c>
      <c r="B40" s="40" t="s">
        <v>213</v>
      </c>
      <c r="C40" s="40" t="s">
        <v>214</v>
      </c>
      <c r="D40" s="40" t="s">
        <v>215</v>
      </c>
      <c r="E40" s="40" t="s">
        <v>216</v>
      </c>
      <c r="F40" s="39" t="str">
        <f t="shared" si="1"/>
        <v>WRONG</v>
      </c>
      <c r="G40" s="39" t="s">
        <v>36</v>
      </c>
      <c r="H40" s="41" t="s">
        <v>42</v>
      </c>
      <c r="I40" s="42" t="s">
        <v>217</v>
      </c>
      <c r="J40" s="41">
        <v>23240.0</v>
      </c>
    </row>
    <row r="41" ht="60.0" customHeight="1">
      <c r="A41" s="39">
        <v>38.0</v>
      </c>
      <c r="B41" s="40" t="s">
        <v>218</v>
      </c>
      <c r="C41" s="40" t="s">
        <v>219</v>
      </c>
      <c r="D41" s="40" t="s">
        <v>220</v>
      </c>
      <c r="E41" s="40" t="s">
        <v>221</v>
      </c>
      <c r="F41" s="39" t="str">
        <f t="shared" si="1"/>
        <v>CORRECT</v>
      </c>
      <c r="G41" s="39" t="s">
        <v>36</v>
      </c>
      <c r="H41" s="41" t="s">
        <v>36</v>
      </c>
      <c r="I41" s="42" t="s">
        <v>222</v>
      </c>
      <c r="J41" s="41">
        <v>26706.0</v>
      </c>
    </row>
    <row r="42" ht="60.0" customHeight="1">
      <c r="A42" s="39">
        <v>39.0</v>
      </c>
      <c r="B42" s="40" t="s">
        <v>223</v>
      </c>
      <c r="C42" s="40" t="s">
        <v>224</v>
      </c>
      <c r="D42" s="40" t="s">
        <v>225</v>
      </c>
      <c r="E42" s="40" t="s">
        <v>226</v>
      </c>
      <c r="F42" s="39" t="str">
        <f t="shared" si="1"/>
        <v>WRONG</v>
      </c>
      <c r="G42" s="39" t="s">
        <v>42</v>
      </c>
      <c r="H42" s="41" t="s">
        <v>36</v>
      </c>
      <c r="I42" s="42" t="s">
        <v>227</v>
      </c>
      <c r="J42" s="41">
        <v>18112.0</v>
      </c>
    </row>
    <row r="43" ht="60.0" customHeight="1">
      <c r="A43" s="39">
        <v>40.0</v>
      </c>
      <c r="B43" s="40" t="s">
        <v>228</v>
      </c>
      <c r="C43" s="40" t="s">
        <v>229</v>
      </c>
      <c r="D43" s="40" t="s">
        <v>230</v>
      </c>
      <c r="E43" s="40" t="s">
        <v>231</v>
      </c>
      <c r="F43" s="39" t="str">
        <f t="shared" si="1"/>
        <v>CORRECT</v>
      </c>
      <c r="G43" s="39" t="s">
        <v>48</v>
      </c>
      <c r="H43" s="41" t="s">
        <v>48</v>
      </c>
      <c r="I43" s="42" t="s">
        <v>232</v>
      </c>
      <c r="J43" s="41">
        <v>33922.0</v>
      </c>
    </row>
    <row r="44" ht="60.0" customHeight="1">
      <c r="A44" s="39">
        <v>41.0</v>
      </c>
      <c r="B44" s="40" t="s">
        <v>233</v>
      </c>
      <c r="C44" s="40" t="s">
        <v>234</v>
      </c>
      <c r="D44" s="40" t="s">
        <v>235</v>
      </c>
      <c r="E44" s="40" t="s">
        <v>236</v>
      </c>
      <c r="F44" s="39" t="str">
        <f t="shared" si="1"/>
        <v>CORRECT</v>
      </c>
      <c r="G44" s="39" t="s">
        <v>42</v>
      </c>
      <c r="H44" s="41" t="s">
        <v>42</v>
      </c>
      <c r="I44" s="42" t="s">
        <v>277</v>
      </c>
      <c r="J44" s="41">
        <v>16568.0</v>
      </c>
    </row>
    <row r="45" ht="60.0" customHeight="1">
      <c r="A45" s="39">
        <v>42.0</v>
      </c>
      <c r="B45" s="40" t="s">
        <v>238</v>
      </c>
      <c r="C45" s="40" t="s">
        <v>239</v>
      </c>
      <c r="D45" s="40" t="s">
        <v>240</v>
      </c>
      <c r="E45" s="40" t="s">
        <v>241</v>
      </c>
      <c r="F45" s="39" t="str">
        <f t="shared" si="1"/>
        <v>WRONG</v>
      </c>
      <c r="G45" s="39" t="s">
        <v>36</v>
      </c>
      <c r="H45" s="41" t="s">
        <v>42</v>
      </c>
      <c r="I45" s="42" t="s">
        <v>242</v>
      </c>
      <c r="J45" s="41">
        <v>33530.0</v>
      </c>
    </row>
    <row r="46" ht="60.0" customHeight="1">
      <c r="A46" s="39">
        <v>43.0</v>
      </c>
      <c r="B46" s="40" t="s">
        <v>243</v>
      </c>
      <c r="C46" s="40" t="s">
        <v>244</v>
      </c>
      <c r="D46" s="40" t="s">
        <v>245</v>
      </c>
      <c r="E46" s="40" t="s">
        <v>246</v>
      </c>
      <c r="F46" s="39" t="str">
        <f t="shared" si="1"/>
        <v>CORRECT</v>
      </c>
      <c r="G46" s="39" t="s">
        <v>48</v>
      </c>
      <c r="H46" s="41" t="s">
        <v>48</v>
      </c>
      <c r="I46" s="42" t="s">
        <v>247</v>
      </c>
      <c r="J46" s="41">
        <v>20930.0</v>
      </c>
    </row>
    <row r="47" ht="60.0" customHeight="1">
      <c r="A47" s="39">
        <v>44.0</v>
      </c>
      <c r="B47" s="40" t="s">
        <v>248</v>
      </c>
      <c r="C47" s="40" t="s">
        <v>249</v>
      </c>
      <c r="D47" s="40" t="s">
        <v>250</v>
      </c>
      <c r="E47" s="40" t="s">
        <v>251</v>
      </c>
      <c r="F47" s="39" t="str">
        <f t="shared" si="1"/>
        <v>WRONG</v>
      </c>
      <c r="G47" s="39" t="s">
        <v>36</v>
      </c>
      <c r="H47" s="41" t="s">
        <v>48</v>
      </c>
      <c r="I47" s="42" t="s">
        <v>252</v>
      </c>
      <c r="J47" s="41">
        <v>22068.0</v>
      </c>
    </row>
    <row r="48" ht="60.0" customHeight="1">
      <c r="A48" s="39">
        <v>45.0</v>
      </c>
      <c r="B48" s="40" t="s">
        <v>253</v>
      </c>
      <c r="C48" s="40" t="s">
        <v>254</v>
      </c>
      <c r="D48" s="40" t="s">
        <v>255</v>
      </c>
      <c r="E48" s="40" t="s">
        <v>256</v>
      </c>
      <c r="F48" s="39" t="str">
        <f t="shared" si="1"/>
        <v>CORRECT</v>
      </c>
      <c r="G48" s="39" t="s">
        <v>36</v>
      </c>
      <c r="H48" s="41" t="s">
        <v>36</v>
      </c>
      <c r="I48" s="42" t="s">
        <v>278</v>
      </c>
      <c r="J48" s="41">
        <v>30624.0</v>
      </c>
    </row>
    <row r="49" ht="60.0" customHeight="1">
      <c r="A49" s="39">
        <v>46.0</v>
      </c>
      <c r="B49" s="40" t="s">
        <v>258</v>
      </c>
      <c r="C49" s="40" t="s">
        <v>39</v>
      </c>
      <c r="D49" s="40" t="s">
        <v>259</v>
      </c>
      <c r="E49" s="40" t="s">
        <v>260</v>
      </c>
      <c r="F49" s="39" t="str">
        <f t="shared" si="1"/>
        <v>CORRECT</v>
      </c>
      <c r="G49" s="39" t="s">
        <v>36</v>
      </c>
      <c r="H49" s="41" t="s">
        <v>36</v>
      </c>
      <c r="I49" s="42" t="s">
        <v>261</v>
      </c>
      <c r="J49" s="41">
        <v>25408.0</v>
      </c>
    </row>
    <row r="50">
      <c r="A50" s="44" t="s">
        <v>262</v>
      </c>
      <c r="B50" s="2"/>
      <c r="C50" s="2"/>
      <c r="D50" s="2"/>
      <c r="E50" s="3"/>
      <c r="F50" s="45">
        <f>COUNTIFS(F4:F49,"CORRECT")</f>
        <v>30</v>
      </c>
      <c r="G50" s="46"/>
      <c r="H50" s="46"/>
      <c r="J50" s="47">
        <f>AVERAGE(J4:J49)</f>
        <v>27362.67391</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279</v>
      </c>
      <c r="C2" s="2"/>
      <c r="D2" s="2"/>
      <c r="E2" s="2"/>
      <c r="F2" s="2"/>
      <c r="G2" s="2"/>
      <c r="H2" s="3"/>
      <c r="I2" s="37" t="s">
        <v>280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33126.0</v>
      </c>
    </row>
    <row r="5" ht="60.0" customHeight="1">
      <c r="A5" s="39">
        <v>2.0</v>
      </c>
      <c r="B5" s="40" t="s">
        <v>38</v>
      </c>
      <c r="C5" s="40" t="s">
        <v>39</v>
      </c>
      <c r="D5" s="40" t="s">
        <v>40</v>
      </c>
      <c r="E5" s="40" t="s">
        <v>41</v>
      </c>
      <c r="F5" s="39" t="str">
        <f t="shared" si="1"/>
        <v>CORRECT</v>
      </c>
      <c r="G5" s="39" t="s">
        <v>42</v>
      </c>
      <c r="H5" s="41" t="s">
        <v>42</v>
      </c>
      <c r="I5" s="42" t="s">
        <v>281</v>
      </c>
      <c r="J5" s="41">
        <v>35375.0</v>
      </c>
    </row>
    <row r="6" ht="60.0" customHeight="1">
      <c r="A6" s="39">
        <v>3.0</v>
      </c>
      <c r="B6" s="40" t="s">
        <v>44</v>
      </c>
      <c r="C6" s="40" t="s">
        <v>45</v>
      </c>
      <c r="D6" s="40" t="s">
        <v>46</v>
      </c>
      <c r="E6" s="40" t="s">
        <v>47</v>
      </c>
      <c r="F6" s="39" t="str">
        <f t="shared" si="1"/>
        <v>CORRECT</v>
      </c>
      <c r="G6" s="39" t="s">
        <v>48</v>
      </c>
      <c r="H6" s="41" t="s">
        <v>48</v>
      </c>
      <c r="I6" s="42" t="s">
        <v>49</v>
      </c>
      <c r="J6" s="41">
        <v>29004.0</v>
      </c>
    </row>
    <row r="7" ht="60.0" customHeight="1">
      <c r="A7" s="39">
        <v>4.0</v>
      </c>
      <c r="B7" s="40" t="s">
        <v>50</v>
      </c>
      <c r="C7" s="40" t="s">
        <v>51</v>
      </c>
      <c r="D7" s="40" t="s">
        <v>52</v>
      </c>
      <c r="E7" s="40" t="s">
        <v>53</v>
      </c>
      <c r="F7" s="39" t="str">
        <f t="shared" si="1"/>
        <v>CORRECT</v>
      </c>
      <c r="G7" s="39" t="s">
        <v>42</v>
      </c>
      <c r="H7" s="41" t="s">
        <v>42</v>
      </c>
      <c r="I7" s="42" t="s">
        <v>54</v>
      </c>
      <c r="J7" s="41">
        <v>19509.0</v>
      </c>
    </row>
    <row r="8" ht="60.0" customHeight="1">
      <c r="A8" s="39">
        <v>5.0</v>
      </c>
      <c r="B8" s="40" t="s">
        <v>55</v>
      </c>
      <c r="C8" s="40" t="s">
        <v>56</v>
      </c>
      <c r="D8" s="40" t="s">
        <v>57</v>
      </c>
      <c r="E8" s="40" t="s">
        <v>58</v>
      </c>
      <c r="F8" s="39" t="str">
        <f t="shared" si="1"/>
        <v>CORRECT</v>
      </c>
      <c r="G8" s="39" t="s">
        <v>48</v>
      </c>
      <c r="H8" s="43" t="s">
        <v>48</v>
      </c>
      <c r="I8" s="42" t="s">
        <v>282</v>
      </c>
      <c r="J8" s="41">
        <v>67564.0</v>
      </c>
    </row>
    <row r="9" ht="60.0" customHeight="1">
      <c r="A9" s="39">
        <v>6.0</v>
      </c>
      <c r="B9" s="40" t="s">
        <v>60</v>
      </c>
      <c r="C9" s="40" t="s">
        <v>61</v>
      </c>
      <c r="D9" s="40" t="s">
        <v>62</v>
      </c>
      <c r="E9" s="40" t="s">
        <v>63</v>
      </c>
      <c r="F9" s="39" t="str">
        <f t="shared" si="1"/>
        <v>CORRECT</v>
      </c>
      <c r="G9" s="39" t="s">
        <v>42</v>
      </c>
      <c r="H9" s="41" t="s">
        <v>42</v>
      </c>
      <c r="I9" s="42" t="s">
        <v>283</v>
      </c>
      <c r="J9" s="41">
        <v>23336.0</v>
      </c>
    </row>
    <row r="10" ht="60.0" customHeight="1">
      <c r="A10" s="39">
        <v>7.0</v>
      </c>
      <c r="B10" s="40" t="s">
        <v>65</v>
      </c>
      <c r="C10" s="40" t="s">
        <v>66</v>
      </c>
      <c r="D10" s="40" t="s">
        <v>67</v>
      </c>
      <c r="E10" s="40" t="s">
        <v>68</v>
      </c>
      <c r="F10" s="39" t="str">
        <f t="shared" si="1"/>
        <v>WRONG</v>
      </c>
      <c r="G10" s="39" t="s">
        <v>42</v>
      </c>
      <c r="H10" s="41" t="s">
        <v>36</v>
      </c>
      <c r="I10" s="42" t="s">
        <v>268</v>
      </c>
      <c r="J10" s="41">
        <v>29956.0</v>
      </c>
    </row>
    <row r="11" ht="60.0" customHeight="1">
      <c r="A11" s="39">
        <v>8.0</v>
      </c>
      <c r="B11" s="40" t="s">
        <v>70</v>
      </c>
      <c r="C11" s="40" t="s">
        <v>71</v>
      </c>
      <c r="D11" s="40" t="s">
        <v>72</v>
      </c>
      <c r="E11" s="40" t="s">
        <v>73</v>
      </c>
      <c r="F11" s="39" t="str">
        <f t="shared" si="1"/>
        <v>WRONG</v>
      </c>
      <c r="G11" s="39" t="s">
        <v>48</v>
      </c>
      <c r="H11" s="41" t="s">
        <v>42</v>
      </c>
      <c r="I11" s="42" t="s">
        <v>74</v>
      </c>
      <c r="J11" s="41">
        <v>28071.0</v>
      </c>
    </row>
    <row r="12" ht="60.0" customHeight="1">
      <c r="A12" s="39">
        <v>9.0</v>
      </c>
      <c r="B12" s="40" t="s">
        <v>75</v>
      </c>
      <c r="C12" s="40" t="s">
        <v>76</v>
      </c>
      <c r="D12" s="40" t="s">
        <v>77</v>
      </c>
      <c r="E12" s="40" t="s">
        <v>78</v>
      </c>
      <c r="F12" s="39" t="str">
        <f t="shared" si="1"/>
        <v>WRONG</v>
      </c>
      <c r="G12" s="39" t="s">
        <v>42</v>
      </c>
      <c r="H12" s="41" t="s">
        <v>48</v>
      </c>
      <c r="I12" s="42" t="s">
        <v>284</v>
      </c>
      <c r="J12" s="41">
        <v>28471.0</v>
      </c>
    </row>
    <row r="13" ht="60.0" customHeight="1">
      <c r="A13" s="39">
        <v>10.0</v>
      </c>
      <c r="B13" s="40" t="s">
        <v>80</v>
      </c>
      <c r="C13" s="40" t="s">
        <v>81</v>
      </c>
      <c r="D13" s="40" t="s">
        <v>82</v>
      </c>
      <c r="E13" s="40" t="s">
        <v>83</v>
      </c>
      <c r="F13" s="39" t="str">
        <f t="shared" si="1"/>
        <v>CORRECT</v>
      </c>
      <c r="G13" s="39" t="s">
        <v>48</v>
      </c>
      <c r="H13" s="41" t="s">
        <v>48</v>
      </c>
      <c r="I13" s="42" t="s">
        <v>285</v>
      </c>
      <c r="J13" s="41">
        <v>43095.0</v>
      </c>
    </row>
    <row r="14" ht="60.0" customHeight="1">
      <c r="A14" s="39">
        <v>11.0</v>
      </c>
      <c r="B14" s="40" t="s">
        <v>85</v>
      </c>
      <c r="C14" s="40" t="s">
        <v>86</v>
      </c>
      <c r="D14" s="40" t="s">
        <v>87</v>
      </c>
      <c r="E14" s="40" t="s">
        <v>88</v>
      </c>
      <c r="F14" s="39" t="str">
        <f t="shared" si="1"/>
        <v>CORRECT</v>
      </c>
      <c r="G14" s="39" t="s">
        <v>42</v>
      </c>
      <c r="H14" s="41" t="s">
        <v>42</v>
      </c>
      <c r="I14" s="42" t="s">
        <v>271</v>
      </c>
      <c r="J14" s="41">
        <v>31772.0</v>
      </c>
    </row>
    <row r="15" ht="60.0" customHeight="1">
      <c r="A15" s="39">
        <v>12.0</v>
      </c>
      <c r="B15" s="40" t="s">
        <v>90</v>
      </c>
      <c r="C15" s="40" t="s">
        <v>91</v>
      </c>
      <c r="D15" s="40" t="s">
        <v>92</v>
      </c>
      <c r="E15" s="40" t="s">
        <v>93</v>
      </c>
      <c r="F15" s="39" t="str">
        <f t="shared" si="1"/>
        <v>CORRECT</v>
      </c>
      <c r="G15" s="39" t="s">
        <v>48</v>
      </c>
      <c r="H15" s="41" t="s">
        <v>48</v>
      </c>
      <c r="I15" s="42" t="s">
        <v>286</v>
      </c>
      <c r="J15" s="41">
        <v>38974.0</v>
      </c>
    </row>
    <row r="16" ht="60.0" customHeight="1">
      <c r="A16" s="39">
        <v>13.0</v>
      </c>
      <c r="B16" s="40" t="s">
        <v>95</v>
      </c>
      <c r="C16" s="40" t="s">
        <v>96</v>
      </c>
      <c r="D16" s="40" t="s">
        <v>97</v>
      </c>
      <c r="E16" s="40" t="s">
        <v>98</v>
      </c>
      <c r="F16" s="39" t="str">
        <f t="shared" si="1"/>
        <v>CORRECT</v>
      </c>
      <c r="G16" s="39" t="s">
        <v>36</v>
      </c>
      <c r="H16" s="41" t="s">
        <v>36</v>
      </c>
      <c r="I16" s="42" t="s">
        <v>287</v>
      </c>
      <c r="J16" s="41">
        <v>23769.0</v>
      </c>
    </row>
    <row r="17" ht="60.0" customHeight="1">
      <c r="A17" s="39">
        <v>14.0</v>
      </c>
      <c r="B17" s="40" t="s">
        <v>100</v>
      </c>
      <c r="C17" s="40" t="s">
        <v>101</v>
      </c>
      <c r="D17" s="40" t="s">
        <v>102</v>
      </c>
      <c r="E17" s="40" t="s">
        <v>103</v>
      </c>
      <c r="F17" s="39" t="str">
        <f t="shared" si="1"/>
        <v>WRONG</v>
      </c>
      <c r="G17" s="39" t="s">
        <v>36</v>
      </c>
      <c r="H17" s="41" t="s">
        <v>48</v>
      </c>
      <c r="I17" s="42" t="s">
        <v>104</v>
      </c>
      <c r="J17" s="41">
        <v>27521.0</v>
      </c>
    </row>
    <row r="18" ht="60.0" customHeight="1">
      <c r="A18" s="39">
        <v>15.0</v>
      </c>
      <c r="B18" s="40" t="s">
        <v>105</v>
      </c>
      <c r="C18" s="40" t="s">
        <v>106</v>
      </c>
      <c r="D18" s="40" t="s">
        <v>107</v>
      </c>
      <c r="E18" s="40" t="s">
        <v>108</v>
      </c>
      <c r="F18" s="39" t="str">
        <f t="shared" si="1"/>
        <v>CORRECT</v>
      </c>
      <c r="G18" s="39" t="s">
        <v>48</v>
      </c>
      <c r="H18" s="43" t="s">
        <v>48</v>
      </c>
      <c r="I18" s="42" t="s">
        <v>273</v>
      </c>
      <c r="J18" s="41">
        <v>42245.0</v>
      </c>
    </row>
    <row r="19" ht="60.0" customHeight="1">
      <c r="A19" s="39">
        <v>16.0</v>
      </c>
      <c r="B19" s="40" t="s">
        <v>110</v>
      </c>
      <c r="C19" s="40" t="s">
        <v>111</v>
      </c>
      <c r="D19" s="40" t="s">
        <v>112</v>
      </c>
      <c r="E19" s="40" t="s">
        <v>113</v>
      </c>
      <c r="F19" s="39" t="str">
        <f t="shared" si="1"/>
        <v>CORRECT</v>
      </c>
      <c r="G19" s="39" t="s">
        <v>48</v>
      </c>
      <c r="H19" s="43" t="s">
        <v>48</v>
      </c>
      <c r="I19" s="42" t="s">
        <v>288</v>
      </c>
      <c r="J19" s="41">
        <v>28875.0</v>
      </c>
    </row>
    <row r="20" ht="60.0" customHeight="1">
      <c r="A20" s="39">
        <v>17.0</v>
      </c>
      <c r="B20" s="40" t="s">
        <v>115</v>
      </c>
      <c r="C20" s="40" t="s">
        <v>116</v>
      </c>
      <c r="D20" s="40" t="s">
        <v>117</v>
      </c>
      <c r="E20" s="40" t="s">
        <v>118</v>
      </c>
      <c r="F20" s="39" t="str">
        <f t="shared" si="1"/>
        <v>WRONG</v>
      </c>
      <c r="G20" s="39" t="s">
        <v>42</v>
      </c>
      <c r="H20" s="41" t="s">
        <v>36</v>
      </c>
      <c r="I20" s="42" t="s">
        <v>289</v>
      </c>
      <c r="J20" s="41">
        <v>28527.0</v>
      </c>
    </row>
    <row r="21" ht="60.0" customHeight="1">
      <c r="A21" s="39">
        <v>18.0</v>
      </c>
      <c r="B21" s="40" t="s">
        <v>120</v>
      </c>
      <c r="C21" s="40" t="s">
        <v>121</v>
      </c>
      <c r="D21" s="40" t="s">
        <v>122</v>
      </c>
      <c r="E21" s="40" t="s">
        <v>123</v>
      </c>
      <c r="F21" s="39" t="str">
        <f t="shared" si="1"/>
        <v>CORRECT</v>
      </c>
      <c r="G21" s="39" t="s">
        <v>42</v>
      </c>
      <c r="H21" s="41" t="s">
        <v>42</v>
      </c>
      <c r="I21" s="42" t="s">
        <v>290</v>
      </c>
      <c r="J21" s="41">
        <v>21699.0</v>
      </c>
    </row>
    <row r="22" ht="60.0" customHeight="1">
      <c r="A22" s="39">
        <v>19.0</v>
      </c>
      <c r="B22" s="40" t="s">
        <v>125</v>
      </c>
      <c r="C22" s="40" t="s">
        <v>126</v>
      </c>
      <c r="D22" s="40" t="s">
        <v>127</v>
      </c>
      <c r="E22" s="40" t="s">
        <v>128</v>
      </c>
      <c r="F22" s="39" t="str">
        <f t="shared" si="1"/>
        <v>WRONG</v>
      </c>
      <c r="G22" s="39" t="s">
        <v>36</v>
      </c>
      <c r="H22" s="43" t="s">
        <v>48</v>
      </c>
      <c r="I22" s="42" t="s">
        <v>291</v>
      </c>
      <c r="J22" s="41">
        <v>35571.0</v>
      </c>
    </row>
    <row r="23" ht="60.0" customHeight="1">
      <c r="A23" s="39">
        <v>20.0</v>
      </c>
      <c r="B23" s="40" t="s">
        <v>130</v>
      </c>
      <c r="C23" s="40" t="s">
        <v>131</v>
      </c>
      <c r="D23" s="40" t="s">
        <v>132</v>
      </c>
      <c r="E23" s="40" t="s">
        <v>133</v>
      </c>
      <c r="F23" s="39" t="str">
        <f t="shared" si="1"/>
        <v>WRONG</v>
      </c>
      <c r="G23" s="39" t="s">
        <v>42</v>
      </c>
      <c r="H23" s="41" t="s">
        <v>48</v>
      </c>
      <c r="I23" s="42" t="s">
        <v>292</v>
      </c>
      <c r="J23" s="41">
        <v>14688.0</v>
      </c>
    </row>
    <row r="24" ht="60.0" customHeight="1">
      <c r="A24" s="39">
        <v>21.0</v>
      </c>
      <c r="B24" s="40" t="s">
        <v>135</v>
      </c>
      <c r="C24" s="40" t="s">
        <v>136</v>
      </c>
      <c r="D24" s="40" t="s">
        <v>137</v>
      </c>
      <c r="E24" s="40" t="s">
        <v>138</v>
      </c>
      <c r="F24" s="39" t="str">
        <f t="shared" si="1"/>
        <v>WRONG</v>
      </c>
      <c r="G24" s="39" t="s">
        <v>42</v>
      </c>
      <c r="H24" s="41" t="s">
        <v>36</v>
      </c>
      <c r="I24" s="42" t="s">
        <v>139</v>
      </c>
      <c r="J24" s="41">
        <v>20880.0</v>
      </c>
    </row>
    <row r="25" ht="60.0" customHeight="1">
      <c r="A25" s="39">
        <v>22.0</v>
      </c>
      <c r="B25" s="40" t="s">
        <v>140</v>
      </c>
      <c r="C25" s="40" t="s">
        <v>141</v>
      </c>
      <c r="D25" s="40" t="s">
        <v>142</v>
      </c>
      <c r="E25" s="40" t="s">
        <v>143</v>
      </c>
      <c r="F25" s="39" t="str">
        <f t="shared" si="1"/>
        <v>CORRECT</v>
      </c>
      <c r="G25" s="39" t="s">
        <v>42</v>
      </c>
      <c r="H25" s="41" t="s">
        <v>42</v>
      </c>
      <c r="I25" s="42" t="s">
        <v>293</v>
      </c>
      <c r="J25" s="41">
        <v>22952.0</v>
      </c>
    </row>
    <row r="26" ht="60.0" customHeight="1">
      <c r="A26" s="39">
        <v>23.0</v>
      </c>
      <c r="B26" s="40" t="s">
        <v>145</v>
      </c>
      <c r="C26" s="40" t="s">
        <v>146</v>
      </c>
      <c r="D26" s="40" t="s">
        <v>147</v>
      </c>
      <c r="E26" s="40" t="s">
        <v>148</v>
      </c>
      <c r="F26" s="39" t="str">
        <f t="shared" si="1"/>
        <v>CORRECT</v>
      </c>
      <c r="G26" s="39" t="s">
        <v>48</v>
      </c>
      <c r="H26" s="41" t="s">
        <v>48</v>
      </c>
      <c r="I26" s="42" t="s">
        <v>149</v>
      </c>
      <c r="J26" s="41">
        <v>17756.0</v>
      </c>
    </row>
    <row r="27" ht="60.0" customHeight="1">
      <c r="A27" s="39">
        <v>24.0</v>
      </c>
      <c r="B27" s="40" t="s">
        <v>150</v>
      </c>
      <c r="C27" s="40" t="s">
        <v>151</v>
      </c>
      <c r="D27" s="40" t="s">
        <v>152</v>
      </c>
      <c r="E27" s="40" t="s">
        <v>153</v>
      </c>
      <c r="F27" s="39" t="str">
        <f t="shared" si="1"/>
        <v>CORRECT</v>
      </c>
      <c r="G27" s="39" t="s">
        <v>36</v>
      </c>
      <c r="H27" s="41" t="s">
        <v>36</v>
      </c>
      <c r="I27" s="42" t="s">
        <v>154</v>
      </c>
      <c r="J27" s="41">
        <v>19370.0</v>
      </c>
    </row>
    <row r="28" ht="60.0" customHeight="1">
      <c r="A28" s="39">
        <v>25.0</v>
      </c>
      <c r="B28" s="40" t="s">
        <v>155</v>
      </c>
      <c r="C28" s="40" t="s">
        <v>151</v>
      </c>
      <c r="D28" s="40" t="s">
        <v>156</v>
      </c>
      <c r="E28" s="40" t="s">
        <v>153</v>
      </c>
      <c r="F28" s="39" t="str">
        <f t="shared" si="1"/>
        <v>CORRECT</v>
      </c>
      <c r="G28" s="39" t="s">
        <v>48</v>
      </c>
      <c r="H28" s="41" t="s">
        <v>48</v>
      </c>
      <c r="I28" s="42" t="s">
        <v>275</v>
      </c>
      <c r="J28" s="41">
        <v>15879.0</v>
      </c>
    </row>
    <row r="29" ht="60.0" customHeight="1">
      <c r="A29" s="39">
        <v>26.0</v>
      </c>
      <c r="B29" s="40" t="s">
        <v>158</v>
      </c>
      <c r="C29" s="40" t="s">
        <v>159</v>
      </c>
      <c r="D29" s="40" t="s">
        <v>160</v>
      </c>
      <c r="E29" s="40" t="s">
        <v>161</v>
      </c>
      <c r="F29" s="39" t="str">
        <f t="shared" si="1"/>
        <v>WRONG</v>
      </c>
      <c r="G29" s="39" t="s">
        <v>36</v>
      </c>
      <c r="H29" s="41" t="s">
        <v>48</v>
      </c>
      <c r="I29" s="42" t="s">
        <v>276</v>
      </c>
      <c r="J29" s="41">
        <v>22905.0</v>
      </c>
    </row>
    <row r="30" ht="60.0" customHeight="1">
      <c r="A30" s="39">
        <v>27.0</v>
      </c>
      <c r="B30" s="40" t="s">
        <v>163</v>
      </c>
      <c r="C30" s="40" t="s">
        <v>164</v>
      </c>
      <c r="D30" s="40" t="s">
        <v>165</v>
      </c>
      <c r="E30" s="40" t="s">
        <v>166</v>
      </c>
      <c r="F30" s="39" t="str">
        <f t="shared" si="1"/>
        <v>CORRECT</v>
      </c>
      <c r="G30" s="39" t="s">
        <v>42</v>
      </c>
      <c r="H30" s="41" t="s">
        <v>42</v>
      </c>
      <c r="I30" s="42" t="s">
        <v>294</v>
      </c>
      <c r="J30" s="41">
        <v>30810.0</v>
      </c>
    </row>
    <row r="31" ht="60.0" customHeight="1">
      <c r="A31" s="39">
        <v>28.0</v>
      </c>
      <c r="B31" s="40" t="s">
        <v>168</v>
      </c>
      <c r="C31" s="40" t="s">
        <v>169</v>
      </c>
      <c r="D31" s="40" t="s">
        <v>170</v>
      </c>
      <c r="E31" s="40" t="s">
        <v>171</v>
      </c>
      <c r="F31" s="39" t="str">
        <f t="shared" si="1"/>
        <v>WRONG</v>
      </c>
      <c r="G31" s="39" t="s">
        <v>36</v>
      </c>
      <c r="H31" s="41" t="s">
        <v>48</v>
      </c>
      <c r="I31" s="42" t="s">
        <v>295</v>
      </c>
      <c r="J31" s="41">
        <v>23560.0</v>
      </c>
    </row>
    <row r="32" ht="60.0" customHeight="1">
      <c r="A32" s="39">
        <v>29.0</v>
      </c>
      <c r="B32" s="40" t="s">
        <v>173</v>
      </c>
      <c r="C32" s="40" t="s">
        <v>174</v>
      </c>
      <c r="D32" s="40" t="s">
        <v>175</v>
      </c>
      <c r="E32" s="40" t="s">
        <v>176</v>
      </c>
      <c r="F32" s="39" t="str">
        <f t="shared" si="1"/>
        <v>CORRECT</v>
      </c>
      <c r="G32" s="39" t="s">
        <v>42</v>
      </c>
      <c r="H32" s="41" t="s">
        <v>42</v>
      </c>
      <c r="I32" s="42" t="s">
        <v>177</v>
      </c>
      <c r="J32" s="41">
        <v>26724.0</v>
      </c>
    </row>
    <row r="33" ht="60.0" customHeight="1">
      <c r="A33" s="39">
        <v>30.0</v>
      </c>
      <c r="B33" s="40" t="s">
        <v>178</v>
      </c>
      <c r="C33" s="40" t="s">
        <v>179</v>
      </c>
      <c r="D33" s="40" t="s">
        <v>180</v>
      </c>
      <c r="E33" s="40" t="s">
        <v>181</v>
      </c>
      <c r="F33" s="39" t="str">
        <f t="shared" si="1"/>
        <v>WRONG</v>
      </c>
      <c r="G33" s="39" t="s">
        <v>48</v>
      </c>
      <c r="H33" s="41" t="s">
        <v>36</v>
      </c>
      <c r="I33" s="42" t="s">
        <v>296</v>
      </c>
      <c r="J33" s="41">
        <v>34075.0</v>
      </c>
    </row>
    <row r="34" ht="60.0" customHeight="1">
      <c r="A34" s="39">
        <v>31.0</v>
      </c>
      <c r="B34" s="40" t="s">
        <v>183</v>
      </c>
      <c r="C34" s="40" t="s">
        <v>184</v>
      </c>
      <c r="D34" s="40" t="s">
        <v>185</v>
      </c>
      <c r="E34" s="40" t="s">
        <v>186</v>
      </c>
      <c r="F34" s="39" t="str">
        <f t="shared" si="1"/>
        <v>WRONG</v>
      </c>
      <c r="G34" s="39" t="s">
        <v>42</v>
      </c>
      <c r="H34" s="41" t="s">
        <v>36</v>
      </c>
      <c r="I34" s="42" t="s">
        <v>187</v>
      </c>
      <c r="J34" s="41">
        <v>29498.0</v>
      </c>
    </row>
    <row r="35" ht="60.0" customHeight="1">
      <c r="A35" s="39">
        <v>32.0</v>
      </c>
      <c r="B35" s="40" t="s">
        <v>188</v>
      </c>
      <c r="C35" s="40" t="s">
        <v>189</v>
      </c>
      <c r="D35" s="40" t="s">
        <v>190</v>
      </c>
      <c r="E35" s="40" t="s">
        <v>191</v>
      </c>
      <c r="F35" s="39" t="str">
        <f t="shared" si="1"/>
        <v>CORRECT</v>
      </c>
      <c r="G35" s="39" t="s">
        <v>36</v>
      </c>
      <c r="H35" s="41" t="s">
        <v>36</v>
      </c>
      <c r="I35" s="42" t="s">
        <v>192</v>
      </c>
      <c r="J35" s="41">
        <v>37232.0</v>
      </c>
    </row>
    <row r="36" ht="60.0" customHeight="1">
      <c r="A36" s="39">
        <v>33.0</v>
      </c>
      <c r="B36" s="40" t="s">
        <v>193</v>
      </c>
      <c r="C36" s="40" t="s">
        <v>194</v>
      </c>
      <c r="D36" s="40" t="s">
        <v>195</v>
      </c>
      <c r="E36" s="40" t="s">
        <v>196</v>
      </c>
      <c r="F36" s="39" t="str">
        <f t="shared" si="1"/>
        <v>WRONG</v>
      </c>
      <c r="G36" s="39" t="s">
        <v>48</v>
      </c>
      <c r="H36" s="41" t="s">
        <v>42</v>
      </c>
      <c r="I36" s="42" t="s">
        <v>297</v>
      </c>
      <c r="J36" s="41">
        <v>28788.0</v>
      </c>
    </row>
    <row r="37" ht="60.0" customHeight="1">
      <c r="A37" s="39">
        <v>34.0</v>
      </c>
      <c r="B37" s="40" t="s">
        <v>198</v>
      </c>
      <c r="C37" s="40" t="s">
        <v>199</v>
      </c>
      <c r="D37" s="40" t="s">
        <v>200</v>
      </c>
      <c r="E37" s="40" t="s">
        <v>201</v>
      </c>
      <c r="F37" s="39" t="str">
        <f t="shared" si="1"/>
        <v>CORRECT</v>
      </c>
      <c r="G37" s="39" t="s">
        <v>36</v>
      </c>
      <c r="H37" s="41" t="s">
        <v>36</v>
      </c>
      <c r="I37" s="42" t="s">
        <v>298</v>
      </c>
      <c r="J37" s="41">
        <v>28063.0</v>
      </c>
    </row>
    <row r="38" ht="60.0" customHeight="1">
      <c r="A38" s="39">
        <v>35.0</v>
      </c>
      <c r="B38" s="40" t="s">
        <v>203</v>
      </c>
      <c r="C38" s="40" t="s">
        <v>204</v>
      </c>
      <c r="D38" s="40" t="s">
        <v>205</v>
      </c>
      <c r="E38" s="40" t="s">
        <v>206</v>
      </c>
      <c r="F38" s="39" t="str">
        <f t="shared" si="1"/>
        <v>WRONG</v>
      </c>
      <c r="G38" s="39" t="s">
        <v>48</v>
      </c>
      <c r="H38" s="41" t="s">
        <v>36</v>
      </c>
      <c r="I38" s="42" t="s">
        <v>299</v>
      </c>
      <c r="J38" s="41">
        <v>25931.0</v>
      </c>
    </row>
    <row r="39" ht="60.0" customHeight="1">
      <c r="A39" s="39">
        <v>36.0</v>
      </c>
      <c r="B39" s="40" t="s">
        <v>208</v>
      </c>
      <c r="C39" s="40" t="s">
        <v>209</v>
      </c>
      <c r="D39" s="40" t="s">
        <v>210</v>
      </c>
      <c r="E39" s="40" t="s">
        <v>211</v>
      </c>
      <c r="F39" s="39" t="str">
        <f t="shared" si="1"/>
        <v>CORRECT</v>
      </c>
      <c r="G39" s="39" t="s">
        <v>36</v>
      </c>
      <c r="H39" s="41" t="s">
        <v>36</v>
      </c>
      <c r="I39" s="42" t="s">
        <v>300</v>
      </c>
      <c r="J39" s="41">
        <v>33565.0</v>
      </c>
    </row>
    <row r="40" ht="60.0" customHeight="1">
      <c r="A40" s="39">
        <v>37.0</v>
      </c>
      <c r="B40" s="40" t="s">
        <v>213</v>
      </c>
      <c r="C40" s="40" t="s">
        <v>214</v>
      </c>
      <c r="D40" s="40" t="s">
        <v>215</v>
      </c>
      <c r="E40" s="40" t="s">
        <v>216</v>
      </c>
      <c r="F40" s="39" t="str">
        <f t="shared" si="1"/>
        <v>WRONG</v>
      </c>
      <c r="G40" s="39" t="s">
        <v>36</v>
      </c>
      <c r="H40" s="41" t="s">
        <v>42</v>
      </c>
      <c r="I40" s="42" t="s">
        <v>217</v>
      </c>
      <c r="J40" s="41">
        <v>23048.0</v>
      </c>
    </row>
    <row r="41" ht="60.0" customHeight="1">
      <c r="A41" s="39">
        <v>38.0</v>
      </c>
      <c r="B41" s="40" t="s">
        <v>218</v>
      </c>
      <c r="C41" s="40" t="s">
        <v>219</v>
      </c>
      <c r="D41" s="40" t="s">
        <v>220</v>
      </c>
      <c r="E41" s="40" t="s">
        <v>221</v>
      </c>
      <c r="F41" s="39" t="str">
        <f t="shared" si="1"/>
        <v>CORRECT</v>
      </c>
      <c r="G41" s="39" t="s">
        <v>36</v>
      </c>
      <c r="H41" s="41" t="s">
        <v>36</v>
      </c>
      <c r="I41" s="42" t="s">
        <v>301</v>
      </c>
      <c r="J41" s="41">
        <v>29068.0</v>
      </c>
    </row>
    <row r="42" ht="60.0" customHeight="1">
      <c r="A42" s="39">
        <v>39.0</v>
      </c>
      <c r="B42" s="40" t="s">
        <v>223</v>
      </c>
      <c r="C42" s="40" t="s">
        <v>224</v>
      </c>
      <c r="D42" s="40" t="s">
        <v>225</v>
      </c>
      <c r="E42" s="40" t="s">
        <v>226</v>
      </c>
      <c r="F42" s="39" t="str">
        <f t="shared" si="1"/>
        <v>WRONG</v>
      </c>
      <c r="G42" s="39" t="s">
        <v>42</v>
      </c>
      <c r="H42" s="41" t="s">
        <v>36</v>
      </c>
      <c r="I42" s="42" t="s">
        <v>227</v>
      </c>
      <c r="J42" s="41">
        <v>17521.0</v>
      </c>
    </row>
    <row r="43" ht="60.0" customHeight="1">
      <c r="A43" s="39">
        <v>40.0</v>
      </c>
      <c r="B43" s="40" t="s">
        <v>228</v>
      </c>
      <c r="C43" s="40" t="s">
        <v>229</v>
      </c>
      <c r="D43" s="40" t="s">
        <v>230</v>
      </c>
      <c r="E43" s="40" t="s">
        <v>231</v>
      </c>
      <c r="F43" s="39" t="str">
        <f t="shared" si="1"/>
        <v>CORRECT</v>
      </c>
      <c r="G43" s="39" t="s">
        <v>48</v>
      </c>
      <c r="H43" s="41" t="s">
        <v>48</v>
      </c>
      <c r="I43" s="42" t="s">
        <v>302</v>
      </c>
      <c r="J43" s="41">
        <v>39180.0</v>
      </c>
    </row>
    <row r="44" ht="60.0" customHeight="1">
      <c r="A44" s="39">
        <v>41.0</v>
      </c>
      <c r="B44" s="40" t="s">
        <v>233</v>
      </c>
      <c r="C44" s="40" t="s">
        <v>234</v>
      </c>
      <c r="D44" s="40" t="s">
        <v>235</v>
      </c>
      <c r="E44" s="40" t="s">
        <v>236</v>
      </c>
      <c r="F44" s="39" t="str">
        <f t="shared" si="1"/>
        <v>CORRECT</v>
      </c>
      <c r="G44" s="39" t="s">
        <v>42</v>
      </c>
      <c r="H44" s="41" t="s">
        <v>42</v>
      </c>
      <c r="I44" s="42" t="s">
        <v>277</v>
      </c>
      <c r="J44" s="41">
        <v>16132.0</v>
      </c>
    </row>
    <row r="45" ht="60.0" customHeight="1">
      <c r="A45" s="39">
        <v>42.0</v>
      </c>
      <c r="B45" s="40" t="s">
        <v>238</v>
      </c>
      <c r="C45" s="40" t="s">
        <v>239</v>
      </c>
      <c r="D45" s="40" t="s">
        <v>240</v>
      </c>
      <c r="E45" s="40" t="s">
        <v>241</v>
      </c>
      <c r="F45" s="39" t="str">
        <f t="shared" si="1"/>
        <v>WRONG</v>
      </c>
      <c r="G45" s="39" t="s">
        <v>36</v>
      </c>
      <c r="H45" s="41" t="s">
        <v>42</v>
      </c>
      <c r="I45" s="42" t="s">
        <v>303</v>
      </c>
      <c r="J45" s="41">
        <v>33655.0</v>
      </c>
    </row>
    <row r="46" ht="60.0" customHeight="1">
      <c r="A46" s="39">
        <v>43.0</v>
      </c>
      <c r="B46" s="40" t="s">
        <v>243</v>
      </c>
      <c r="C46" s="40" t="s">
        <v>244</v>
      </c>
      <c r="D46" s="40" t="s">
        <v>245</v>
      </c>
      <c r="E46" s="40" t="s">
        <v>246</v>
      </c>
      <c r="F46" s="39" t="str">
        <f t="shared" si="1"/>
        <v>CORRECT</v>
      </c>
      <c r="G46" s="39" t="s">
        <v>48</v>
      </c>
      <c r="H46" s="41" t="s">
        <v>48</v>
      </c>
      <c r="I46" s="42" t="s">
        <v>304</v>
      </c>
      <c r="J46" s="41">
        <v>19596.0</v>
      </c>
    </row>
    <row r="47" ht="60.0" customHeight="1">
      <c r="A47" s="39">
        <v>44.0</v>
      </c>
      <c r="B47" s="40" t="s">
        <v>248</v>
      </c>
      <c r="C47" s="40" t="s">
        <v>249</v>
      </c>
      <c r="D47" s="40" t="s">
        <v>250</v>
      </c>
      <c r="E47" s="40" t="s">
        <v>251</v>
      </c>
      <c r="F47" s="39" t="str">
        <f t="shared" si="1"/>
        <v>WRONG</v>
      </c>
      <c r="G47" s="39" t="s">
        <v>36</v>
      </c>
      <c r="H47" s="41" t="s">
        <v>48</v>
      </c>
      <c r="I47" s="42" t="s">
        <v>305</v>
      </c>
      <c r="J47" s="41">
        <v>24927.0</v>
      </c>
    </row>
    <row r="48" ht="60.0" customHeight="1">
      <c r="A48" s="39">
        <v>45.0</v>
      </c>
      <c r="B48" s="40" t="s">
        <v>253</v>
      </c>
      <c r="C48" s="40" t="s">
        <v>254</v>
      </c>
      <c r="D48" s="40" t="s">
        <v>255</v>
      </c>
      <c r="E48" s="40" t="s">
        <v>256</v>
      </c>
      <c r="F48" s="39" t="str">
        <f t="shared" si="1"/>
        <v>CORRECT</v>
      </c>
      <c r="G48" s="39" t="s">
        <v>36</v>
      </c>
      <c r="H48" s="41" t="s">
        <v>36</v>
      </c>
      <c r="I48" s="42" t="s">
        <v>306</v>
      </c>
      <c r="J48" s="41">
        <v>30981.0</v>
      </c>
    </row>
    <row r="49" ht="60.0" customHeight="1">
      <c r="A49" s="39">
        <v>46.0</v>
      </c>
      <c r="B49" s="40" t="s">
        <v>258</v>
      </c>
      <c r="C49" s="40" t="s">
        <v>39</v>
      </c>
      <c r="D49" s="40" t="s">
        <v>259</v>
      </c>
      <c r="E49" s="40" t="s">
        <v>260</v>
      </c>
      <c r="F49" s="39" t="str">
        <f t="shared" si="1"/>
        <v>CORRECT</v>
      </c>
      <c r="G49" s="39" t="s">
        <v>36</v>
      </c>
      <c r="H49" s="41" t="s">
        <v>36</v>
      </c>
      <c r="I49" s="42" t="s">
        <v>261</v>
      </c>
      <c r="J49" s="41">
        <v>25941.0</v>
      </c>
    </row>
    <row r="50">
      <c r="A50" s="44" t="s">
        <v>262</v>
      </c>
      <c r="B50" s="2"/>
      <c r="C50" s="2"/>
      <c r="D50" s="2"/>
      <c r="E50" s="3"/>
      <c r="F50" s="45">
        <f>COUNTIFS(F4:F49,"CORRECT")</f>
        <v>28</v>
      </c>
      <c r="G50" s="46"/>
      <c r="H50" s="46"/>
      <c r="J50" s="47">
        <f>AVERAGE(J4:J49)</f>
        <v>28460.54348</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307</v>
      </c>
      <c r="C2" s="2"/>
      <c r="D2" s="2"/>
      <c r="E2" s="2"/>
      <c r="F2" s="2"/>
      <c r="G2" s="2"/>
      <c r="H2" s="3"/>
      <c r="I2" s="37" t="s">
        <v>308</v>
      </c>
      <c r="J2" s="3"/>
      <c r="K2" s="34"/>
      <c r="L2" s="34"/>
      <c r="M2" s="34"/>
      <c r="N2" s="52" t="s">
        <v>309</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3" t="s">
        <v>37</v>
      </c>
      <c r="J4" s="41">
        <v>33766.0</v>
      </c>
    </row>
    <row r="5" ht="60.0" customHeight="1">
      <c r="A5" s="39">
        <v>2.0</v>
      </c>
      <c r="B5" s="40" t="s">
        <v>38</v>
      </c>
      <c r="C5" s="40" t="s">
        <v>39</v>
      </c>
      <c r="D5" s="40" t="s">
        <v>40</v>
      </c>
      <c r="E5" s="40" t="s">
        <v>41</v>
      </c>
      <c r="F5" s="39" t="str">
        <f t="shared" si="1"/>
        <v>CORRECT</v>
      </c>
      <c r="G5" s="39" t="s">
        <v>42</v>
      </c>
      <c r="H5" s="41" t="s">
        <v>42</v>
      </c>
      <c r="I5" s="53" t="s">
        <v>267</v>
      </c>
      <c r="J5" s="41">
        <v>30216.0</v>
      </c>
    </row>
    <row r="6" ht="60.0" customHeight="1">
      <c r="A6" s="39">
        <v>3.0</v>
      </c>
      <c r="B6" s="40" t="s">
        <v>44</v>
      </c>
      <c r="C6" s="40" t="s">
        <v>45</v>
      </c>
      <c r="D6" s="40" t="s">
        <v>46</v>
      </c>
      <c r="E6" s="40" t="s">
        <v>47</v>
      </c>
      <c r="F6" s="39" t="str">
        <f t="shared" si="1"/>
        <v>CORRECT</v>
      </c>
      <c r="G6" s="39" t="s">
        <v>48</v>
      </c>
      <c r="H6" s="41" t="s">
        <v>48</v>
      </c>
      <c r="I6" s="53" t="s">
        <v>49</v>
      </c>
      <c r="J6" s="41">
        <v>32043.0</v>
      </c>
    </row>
    <row r="7" ht="60.0" customHeight="1">
      <c r="A7" s="39">
        <v>4.0</v>
      </c>
      <c r="B7" s="40" t="s">
        <v>50</v>
      </c>
      <c r="C7" s="40" t="s">
        <v>51</v>
      </c>
      <c r="D7" s="40" t="s">
        <v>52</v>
      </c>
      <c r="E7" s="40" t="s">
        <v>53</v>
      </c>
      <c r="F7" s="39" t="str">
        <f t="shared" si="1"/>
        <v>CORRECT</v>
      </c>
      <c r="G7" s="39" t="s">
        <v>42</v>
      </c>
      <c r="H7" s="41" t="s">
        <v>42</v>
      </c>
      <c r="I7" s="53" t="s">
        <v>54</v>
      </c>
      <c r="J7" s="41">
        <v>19854.0</v>
      </c>
    </row>
    <row r="8" ht="60.0" customHeight="1">
      <c r="A8" s="39">
        <v>5.0</v>
      </c>
      <c r="B8" s="40" t="s">
        <v>55</v>
      </c>
      <c r="C8" s="40" t="s">
        <v>56</v>
      </c>
      <c r="D8" s="40" t="s">
        <v>57</v>
      </c>
      <c r="E8" s="40" t="s">
        <v>58</v>
      </c>
      <c r="F8" s="39" t="str">
        <f t="shared" si="1"/>
        <v>CORRECT</v>
      </c>
      <c r="G8" s="39" t="s">
        <v>48</v>
      </c>
      <c r="H8" s="43" t="s">
        <v>48</v>
      </c>
      <c r="I8" s="53" t="s">
        <v>59</v>
      </c>
      <c r="J8" s="41">
        <v>48978.0</v>
      </c>
    </row>
    <row r="9" ht="60.0" customHeight="1">
      <c r="A9" s="39">
        <v>6.0</v>
      </c>
      <c r="B9" s="40" t="s">
        <v>60</v>
      </c>
      <c r="C9" s="40" t="s">
        <v>61</v>
      </c>
      <c r="D9" s="40" t="s">
        <v>62</v>
      </c>
      <c r="E9" s="40" t="s">
        <v>63</v>
      </c>
      <c r="F9" s="39" t="str">
        <f t="shared" si="1"/>
        <v>CORRECT</v>
      </c>
      <c r="G9" s="39" t="s">
        <v>42</v>
      </c>
      <c r="H9" s="41" t="s">
        <v>42</v>
      </c>
      <c r="I9" s="53" t="s">
        <v>64</v>
      </c>
      <c r="J9" s="41">
        <v>21697.0</v>
      </c>
    </row>
    <row r="10" ht="60.0" customHeight="1">
      <c r="A10" s="39">
        <v>7.0</v>
      </c>
      <c r="B10" s="40" t="s">
        <v>65</v>
      </c>
      <c r="C10" s="40" t="s">
        <v>66</v>
      </c>
      <c r="D10" s="40" t="s">
        <v>67</v>
      </c>
      <c r="E10" s="40" t="s">
        <v>68</v>
      </c>
      <c r="F10" s="39" t="str">
        <f t="shared" si="1"/>
        <v>WRONG</v>
      </c>
      <c r="G10" s="39" t="s">
        <v>42</v>
      </c>
      <c r="H10" s="41" t="s">
        <v>36</v>
      </c>
      <c r="I10" s="53" t="s">
        <v>268</v>
      </c>
      <c r="J10" s="41">
        <v>30220.0</v>
      </c>
    </row>
    <row r="11" ht="60.0" customHeight="1">
      <c r="A11" s="39">
        <v>8.0</v>
      </c>
      <c r="B11" s="40" t="s">
        <v>70</v>
      </c>
      <c r="C11" s="40" t="s">
        <v>71</v>
      </c>
      <c r="D11" s="40" t="s">
        <v>72</v>
      </c>
      <c r="E11" s="40" t="s">
        <v>73</v>
      </c>
      <c r="F11" s="39" t="str">
        <f t="shared" si="1"/>
        <v>WRONG</v>
      </c>
      <c r="G11" s="39" t="s">
        <v>48</v>
      </c>
      <c r="H11" s="41" t="s">
        <v>42</v>
      </c>
      <c r="I11" s="53" t="s">
        <v>74</v>
      </c>
      <c r="J11" s="41">
        <v>28780.0</v>
      </c>
    </row>
    <row r="12" ht="60.0" customHeight="1">
      <c r="A12" s="39">
        <v>9.0</v>
      </c>
      <c r="B12" s="40" t="s">
        <v>75</v>
      </c>
      <c r="C12" s="40" t="s">
        <v>76</v>
      </c>
      <c r="D12" s="40" t="s">
        <v>77</v>
      </c>
      <c r="E12" s="40" t="s">
        <v>78</v>
      </c>
      <c r="F12" s="39" t="str">
        <f t="shared" si="1"/>
        <v>WRONG</v>
      </c>
      <c r="G12" s="39" t="s">
        <v>42</v>
      </c>
      <c r="H12" s="41" t="s">
        <v>48</v>
      </c>
      <c r="I12" s="53" t="s">
        <v>269</v>
      </c>
      <c r="J12" s="41">
        <v>29534.0</v>
      </c>
    </row>
    <row r="13" ht="60.0" customHeight="1">
      <c r="A13" s="39">
        <v>10.0</v>
      </c>
      <c r="B13" s="40" t="s">
        <v>80</v>
      </c>
      <c r="C13" s="40" t="s">
        <v>81</v>
      </c>
      <c r="D13" s="40" t="s">
        <v>82</v>
      </c>
      <c r="E13" s="40" t="s">
        <v>83</v>
      </c>
      <c r="F13" s="39" t="str">
        <f t="shared" si="1"/>
        <v>CORRECT</v>
      </c>
      <c r="G13" s="39" t="s">
        <v>48</v>
      </c>
      <c r="H13" s="41" t="s">
        <v>48</v>
      </c>
      <c r="I13" s="53" t="s">
        <v>270</v>
      </c>
      <c r="J13" s="41">
        <v>47205.0</v>
      </c>
    </row>
    <row r="14" ht="60.0" customHeight="1">
      <c r="A14" s="39">
        <v>11.0</v>
      </c>
      <c r="B14" s="40" t="s">
        <v>85</v>
      </c>
      <c r="C14" s="40" t="s">
        <v>86</v>
      </c>
      <c r="D14" s="40" t="s">
        <v>87</v>
      </c>
      <c r="E14" s="40" t="s">
        <v>88</v>
      </c>
      <c r="F14" s="39" t="str">
        <f t="shared" si="1"/>
        <v>CORRECT</v>
      </c>
      <c r="G14" s="39" t="s">
        <v>42</v>
      </c>
      <c r="H14" s="41" t="s">
        <v>42</v>
      </c>
      <c r="I14" s="53" t="s">
        <v>271</v>
      </c>
      <c r="J14" s="41">
        <v>31972.0</v>
      </c>
    </row>
    <row r="15" ht="60.0" customHeight="1">
      <c r="A15" s="39">
        <v>12.0</v>
      </c>
      <c r="B15" s="40" t="s">
        <v>90</v>
      </c>
      <c r="C15" s="40" t="s">
        <v>91</v>
      </c>
      <c r="D15" s="40" t="s">
        <v>92</v>
      </c>
      <c r="E15" s="40" t="s">
        <v>93</v>
      </c>
      <c r="F15" s="39" t="str">
        <f t="shared" si="1"/>
        <v>CORRECT</v>
      </c>
      <c r="G15" s="39" t="s">
        <v>48</v>
      </c>
      <c r="H15" s="41" t="s">
        <v>48</v>
      </c>
      <c r="I15" s="53" t="s">
        <v>272</v>
      </c>
      <c r="J15" s="41">
        <v>34046.0</v>
      </c>
    </row>
    <row r="16" ht="60.0" customHeight="1">
      <c r="A16" s="39">
        <v>13.0</v>
      </c>
      <c r="B16" s="40" t="s">
        <v>95</v>
      </c>
      <c r="C16" s="40" t="s">
        <v>96</v>
      </c>
      <c r="D16" s="40" t="s">
        <v>97</v>
      </c>
      <c r="E16" s="40" t="s">
        <v>98</v>
      </c>
      <c r="F16" s="39" t="str">
        <f t="shared" si="1"/>
        <v>CORRECT</v>
      </c>
      <c r="G16" s="39" t="s">
        <v>36</v>
      </c>
      <c r="H16" s="41" t="s">
        <v>36</v>
      </c>
      <c r="I16" s="53" t="s">
        <v>99</v>
      </c>
      <c r="J16" s="41">
        <v>23397.0</v>
      </c>
    </row>
    <row r="17" ht="60.0" customHeight="1">
      <c r="A17" s="39">
        <v>14.0</v>
      </c>
      <c r="B17" s="40" t="s">
        <v>100</v>
      </c>
      <c r="C17" s="40" t="s">
        <v>101</v>
      </c>
      <c r="D17" s="40" t="s">
        <v>102</v>
      </c>
      <c r="E17" s="40" t="s">
        <v>103</v>
      </c>
      <c r="F17" s="39" t="str">
        <f t="shared" si="1"/>
        <v>WRONG</v>
      </c>
      <c r="G17" s="39" t="s">
        <v>36</v>
      </c>
      <c r="H17" s="41" t="s">
        <v>48</v>
      </c>
      <c r="I17" s="53" t="s">
        <v>104</v>
      </c>
      <c r="J17" s="41">
        <v>27726.0</v>
      </c>
    </row>
    <row r="18" ht="60.0" customHeight="1">
      <c r="A18" s="39">
        <v>15.0</v>
      </c>
      <c r="B18" s="40" t="s">
        <v>105</v>
      </c>
      <c r="C18" s="40" t="s">
        <v>106</v>
      </c>
      <c r="D18" s="40" t="s">
        <v>107</v>
      </c>
      <c r="E18" s="40" t="s">
        <v>108</v>
      </c>
      <c r="F18" s="39" t="str">
        <f t="shared" si="1"/>
        <v>CORRECT</v>
      </c>
      <c r="G18" s="39" t="s">
        <v>48</v>
      </c>
      <c r="H18" s="43" t="s">
        <v>48</v>
      </c>
      <c r="I18" s="53" t="s">
        <v>273</v>
      </c>
      <c r="J18" s="41">
        <v>42617.0</v>
      </c>
    </row>
    <row r="19" ht="60.0" customHeight="1">
      <c r="A19" s="39">
        <v>16.0</v>
      </c>
      <c r="B19" s="40" t="s">
        <v>110</v>
      </c>
      <c r="C19" s="40" t="s">
        <v>111</v>
      </c>
      <c r="D19" s="40" t="s">
        <v>112</v>
      </c>
      <c r="E19" s="40" t="s">
        <v>113</v>
      </c>
      <c r="F19" s="39" t="str">
        <f t="shared" si="1"/>
        <v>CORRECT</v>
      </c>
      <c r="G19" s="39" t="s">
        <v>48</v>
      </c>
      <c r="H19" s="43" t="s">
        <v>48</v>
      </c>
      <c r="I19" s="53" t="s">
        <v>114</v>
      </c>
      <c r="J19" s="41">
        <v>23043.0</v>
      </c>
    </row>
    <row r="20" ht="60.0" customHeight="1">
      <c r="A20" s="39">
        <v>17.0</v>
      </c>
      <c r="B20" s="40" t="s">
        <v>115</v>
      </c>
      <c r="C20" s="40" t="s">
        <v>116</v>
      </c>
      <c r="D20" s="40" t="s">
        <v>117</v>
      </c>
      <c r="E20" s="40" t="s">
        <v>118</v>
      </c>
      <c r="F20" s="39" t="str">
        <f t="shared" si="1"/>
        <v>WRONG</v>
      </c>
      <c r="G20" s="39" t="s">
        <v>42</v>
      </c>
      <c r="H20" s="41" t="s">
        <v>36</v>
      </c>
      <c r="I20" s="53" t="s">
        <v>119</v>
      </c>
      <c r="J20" s="41">
        <v>28331.0</v>
      </c>
    </row>
    <row r="21" ht="60.0" customHeight="1">
      <c r="A21" s="39">
        <v>18.0</v>
      </c>
      <c r="B21" s="40" t="s">
        <v>120</v>
      </c>
      <c r="C21" s="40" t="s">
        <v>121</v>
      </c>
      <c r="D21" s="40" t="s">
        <v>122</v>
      </c>
      <c r="E21" s="40" t="s">
        <v>123</v>
      </c>
      <c r="F21" s="39" t="str">
        <f t="shared" si="1"/>
        <v>CORRECT</v>
      </c>
      <c r="G21" s="39" t="s">
        <v>42</v>
      </c>
      <c r="H21" s="41" t="s">
        <v>42</v>
      </c>
      <c r="I21" s="53" t="s">
        <v>124</v>
      </c>
      <c r="J21" s="41">
        <v>24402.0</v>
      </c>
    </row>
    <row r="22" ht="60.0" customHeight="1">
      <c r="A22" s="39">
        <v>19.0</v>
      </c>
      <c r="B22" s="40" t="s">
        <v>125</v>
      </c>
      <c r="C22" s="40" t="s">
        <v>126</v>
      </c>
      <c r="D22" s="40" t="s">
        <v>127</v>
      </c>
      <c r="E22" s="40" t="s">
        <v>128</v>
      </c>
      <c r="F22" s="39" t="str">
        <f t="shared" si="1"/>
        <v>WRONG</v>
      </c>
      <c r="G22" s="39" t="s">
        <v>36</v>
      </c>
      <c r="H22" s="43" t="s">
        <v>48</v>
      </c>
      <c r="I22" s="53" t="s">
        <v>129</v>
      </c>
      <c r="J22" s="41">
        <v>35865.0</v>
      </c>
    </row>
    <row r="23" ht="60.0" customHeight="1">
      <c r="A23" s="39">
        <v>20.0</v>
      </c>
      <c r="B23" s="40" t="s">
        <v>130</v>
      </c>
      <c r="C23" s="40" t="s">
        <v>131</v>
      </c>
      <c r="D23" s="40" t="s">
        <v>132</v>
      </c>
      <c r="E23" s="40" t="s">
        <v>133</v>
      </c>
      <c r="F23" s="39" t="str">
        <f t="shared" si="1"/>
        <v>CORRECT</v>
      </c>
      <c r="G23" s="39" t="s">
        <v>42</v>
      </c>
      <c r="H23" s="41" t="s">
        <v>42</v>
      </c>
      <c r="I23" s="53" t="s">
        <v>134</v>
      </c>
      <c r="J23" s="41">
        <v>14674.0</v>
      </c>
    </row>
    <row r="24" ht="60.0" customHeight="1">
      <c r="A24" s="39">
        <v>21.0</v>
      </c>
      <c r="B24" s="40" t="s">
        <v>135</v>
      </c>
      <c r="C24" s="40" t="s">
        <v>136</v>
      </c>
      <c r="D24" s="40" t="s">
        <v>137</v>
      </c>
      <c r="E24" s="40" t="s">
        <v>138</v>
      </c>
      <c r="F24" s="39" t="str">
        <f t="shared" si="1"/>
        <v>WRONG</v>
      </c>
      <c r="G24" s="39" t="s">
        <v>42</v>
      </c>
      <c r="H24" s="41" t="s">
        <v>36</v>
      </c>
      <c r="I24" s="53" t="s">
        <v>139</v>
      </c>
      <c r="J24" s="41">
        <v>21456.0</v>
      </c>
    </row>
    <row r="25" ht="60.0" customHeight="1">
      <c r="A25" s="39">
        <v>22.0</v>
      </c>
      <c r="B25" s="40" t="s">
        <v>140</v>
      </c>
      <c r="C25" s="40" t="s">
        <v>141</v>
      </c>
      <c r="D25" s="40" t="s">
        <v>142</v>
      </c>
      <c r="E25" s="40" t="s">
        <v>143</v>
      </c>
      <c r="F25" s="39" t="str">
        <f t="shared" si="1"/>
        <v>CORRECT</v>
      </c>
      <c r="G25" s="39" t="s">
        <v>42</v>
      </c>
      <c r="H25" s="41" t="s">
        <v>42</v>
      </c>
      <c r="I25" s="53" t="s">
        <v>144</v>
      </c>
      <c r="J25" s="41">
        <v>18323.0</v>
      </c>
    </row>
    <row r="26" ht="60.0" customHeight="1">
      <c r="A26" s="39">
        <v>23.0</v>
      </c>
      <c r="B26" s="40" t="s">
        <v>145</v>
      </c>
      <c r="C26" s="40" t="s">
        <v>146</v>
      </c>
      <c r="D26" s="40" t="s">
        <v>147</v>
      </c>
      <c r="E26" s="40" t="s">
        <v>148</v>
      </c>
      <c r="F26" s="39" t="str">
        <f t="shared" si="1"/>
        <v>CORRECT</v>
      </c>
      <c r="G26" s="39" t="s">
        <v>48</v>
      </c>
      <c r="H26" s="41" t="s">
        <v>48</v>
      </c>
      <c r="I26" s="53" t="s">
        <v>149</v>
      </c>
      <c r="J26" s="41">
        <v>17725.0</v>
      </c>
    </row>
    <row r="27" ht="60.0" customHeight="1">
      <c r="A27" s="39">
        <v>24.0</v>
      </c>
      <c r="B27" s="40" t="s">
        <v>150</v>
      </c>
      <c r="C27" s="40" t="s">
        <v>151</v>
      </c>
      <c r="D27" s="40" t="s">
        <v>152</v>
      </c>
      <c r="E27" s="40" t="s">
        <v>153</v>
      </c>
      <c r="F27" s="39" t="str">
        <f t="shared" si="1"/>
        <v>CORRECT</v>
      </c>
      <c r="G27" s="39" t="s">
        <v>36</v>
      </c>
      <c r="H27" s="41" t="s">
        <v>36</v>
      </c>
      <c r="I27" s="53" t="s">
        <v>154</v>
      </c>
      <c r="J27" s="41">
        <v>19399.0</v>
      </c>
    </row>
    <row r="28" ht="60.0" customHeight="1">
      <c r="A28" s="39">
        <v>25.0</v>
      </c>
      <c r="B28" s="40" t="s">
        <v>155</v>
      </c>
      <c r="C28" s="40" t="s">
        <v>151</v>
      </c>
      <c r="D28" s="40" t="s">
        <v>156</v>
      </c>
      <c r="E28" s="40" t="s">
        <v>153</v>
      </c>
      <c r="F28" s="39" t="str">
        <f t="shared" si="1"/>
        <v>CORRECT</v>
      </c>
      <c r="G28" s="39" t="s">
        <v>48</v>
      </c>
      <c r="H28" s="43" t="s">
        <v>48</v>
      </c>
      <c r="I28" s="53" t="s">
        <v>275</v>
      </c>
      <c r="J28" s="41">
        <v>16003.0</v>
      </c>
    </row>
    <row r="29" ht="60.0" customHeight="1">
      <c r="A29" s="39">
        <v>26.0</v>
      </c>
      <c r="B29" s="40" t="s">
        <v>158</v>
      </c>
      <c r="C29" s="40" t="s">
        <v>159</v>
      </c>
      <c r="D29" s="40" t="s">
        <v>160</v>
      </c>
      <c r="E29" s="40" t="s">
        <v>161</v>
      </c>
      <c r="F29" s="39" t="str">
        <f t="shared" si="1"/>
        <v>WRONG</v>
      </c>
      <c r="G29" s="39" t="s">
        <v>36</v>
      </c>
      <c r="H29" s="41" t="s">
        <v>48</v>
      </c>
      <c r="I29" s="53" t="s">
        <v>276</v>
      </c>
      <c r="J29" s="41">
        <v>23242.0</v>
      </c>
    </row>
    <row r="30" ht="60.0" customHeight="1">
      <c r="A30" s="39">
        <v>27.0</v>
      </c>
      <c r="B30" s="40" t="s">
        <v>163</v>
      </c>
      <c r="C30" s="40" t="s">
        <v>164</v>
      </c>
      <c r="D30" s="40" t="s">
        <v>165</v>
      </c>
      <c r="E30" s="40" t="s">
        <v>166</v>
      </c>
      <c r="F30" s="39" t="str">
        <f t="shared" si="1"/>
        <v>CORRECT</v>
      </c>
      <c r="G30" s="39" t="s">
        <v>42</v>
      </c>
      <c r="H30" s="41" t="s">
        <v>42</v>
      </c>
      <c r="I30" s="53" t="s">
        <v>167</v>
      </c>
      <c r="J30" s="41">
        <v>28609.0</v>
      </c>
    </row>
    <row r="31" ht="60.0" customHeight="1">
      <c r="A31" s="39">
        <v>28.0</v>
      </c>
      <c r="B31" s="40" t="s">
        <v>168</v>
      </c>
      <c r="C31" s="40" t="s">
        <v>169</v>
      </c>
      <c r="D31" s="40" t="s">
        <v>170</v>
      </c>
      <c r="E31" s="40" t="s">
        <v>171</v>
      </c>
      <c r="F31" s="39" t="str">
        <f t="shared" si="1"/>
        <v>WRONG</v>
      </c>
      <c r="G31" s="39" t="s">
        <v>36</v>
      </c>
      <c r="H31" s="43" t="s">
        <v>48</v>
      </c>
      <c r="I31" s="53" t="s">
        <v>172</v>
      </c>
      <c r="J31" s="41">
        <v>23301.0</v>
      </c>
    </row>
    <row r="32" ht="60.0" customHeight="1">
      <c r="A32" s="39">
        <v>29.0</v>
      </c>
      <c r="B32" s="40" t="s">
        <v>173</v>
      </c>
      <c r="C32" s="40" t="s">
        <v>174</v>
      </c>
      <c r="D32" s="40" t="s">
        <v>175</v>
      </c>
      <c r="E32" s="40" t="s">
        <v>176</v>
      </c>
      <c r="F32" s="39" t="str">
        <f t="shared" si="1"/>
        <v>CORRECT</v>
      </c>
      <c r="G32" s="39" t="s">
        <v>42</v>
      </c>
      <c r="H32" s="41" t="s">
        <v>42</v>
      </c>
      <c r="I32" s="53" t="s">
        <v>177</v>
      </c>
      <c r="J32" s="41">
        <v>27876.0</v>
      </c>
    </row>
    <row r="33" ht="60.0" customHeight="1">
      <c r="A33" s="39">
        <v>30.0</v>
      </c>
      <c r="B33" s="40" t="s">
        <v>178</v>
      </c>
      <c r="C33" s="40" t="s">
        <v>179</v>
      </c>
      <c r="D33" s="40" t="s">
        <v>180</v>
      </c>
      <c r="E33" s="40" t="s">
        <v>181</v>
      </c>
      <c r="F33" s="39" t="str">
        <f t="shared" si="1"/>
        <v>WRONG</v>
      </c>
      <c r="G33" s="39" t="s">
        <v>48</v>
      </c>
      <c r="H33" s="41" t="s">
        <v>36</v>
      </c>
      <c r="I33" s="53" t="s">
        <v>182</v>
      </c>
      <c r="J33" s="41">
        <v>33148.0</v>
      </c>
    </row>
    <row r="34" ht="60.0" customHeight="1">
      <c r="A34" s="39">
        <v>31.0</v>
      </c>
      <c r="B34" s="40" t="s">
        <v>183</v>
      </c>
      <c r="C34" s="40" t="s">
        <v>184</v>
      </c>
      <c r="D34" s="40" t="s">
        <v>185</v>
      </c>
      <c r="E34" s="40" t="s">
        <v>186</v>
      </c>
      <c r="F34" s="39" t="str">
        <f t="shared" si="1"/>
        <v>WRONG</v>
      </c>
      <c r="G34" s="39" t="s">
        <v>42</v>
      </c>
      <c r="H34" s="41" t="s">
        <v>36</v>
      </c>
      <c r="I34" s="53" t="s">
        <v>187</v>
      </c>
      <c r="J34" s="41">
        <v>29942.0</v>
      </c>
    </row>
    <row r="35" ht="60.0" customHeight="1">
      <c r="A35" s="39">
        <v>32.0</v>
      </c>
      <c r="B35" s="40" t="s">
        <v>188</v>
      </c>
      <c r="C35" s="40" t="s">
        <v>189</v>
      </c>
      <c r="D35" s="40" t="s">
        <v>190</v>
      </c>
      <c r="E35" s="40" t="s">
        <v>191</v>
      </c>
      <c r="F35" s="39" t="str">
        <f t="shared" si="1"/>
        <v>CORRECT</v>
      </c>
      <c r="G35" s="39" t="s">
        <v>36</v>
      </c>
      <c r="H35" s="41" t="s">
        <v>36</v>
      </c>
      <c r="I35" s="53" t="s">
        <v>192</v>
      </c>
      <c r="J35" s="41">
        <v>37166.0</v>
      </c>
    </row>
    <row r="36" ht="60.0" customHeight="1">
      <c r="A36" s="39">
        <v>33.0</v>
      </c>
      <c r="B36" s="40" t="s">
        <v>193</v>
      </c>
      <c r="C36" s="40" t="s">
        <v>194</v>
      </c>
      <c r="D36" s="40" t="s">
        <v>195</v>
      </c>
      <c r="E36" s="40" t="s">
        <v>196</v>
      </c>
      <c r="F36" s="39" t="str">
        <f t="shared" si="1"/>
        <v>CORRECT</v>
      </c>
      <c r="G36" s="39" t="s">
        <v>48</v>
      </c>
      <c r="H36" s="43" t="s">
        <v>48</v>
      </c>
      <c r="I36" s="53" t="s">
        <v>197</v>
      </c>
      <c r="J36" s="41">
        <v>31275.0</v>
      </c>
    </row>
    <row r="37" ht="60.0" customHeight="1">
      <c r="A37" s="39">
        <v>34.0</v>
      </c>
      <c r="B37" s="40" t="s">
        <v>198</v>
      </c>
      <c r="C37" s="40" t="s">
        <v>199</v>
      </c>
      <c r="D37" s="40" t="s">
        <v>200</v>
      </c>
      <c r="E37" s="40" t="s">
        <v>201</v>
      </c>
      <c r="F37" s="39" t="str">
        <f t="shared" si="1"/>
        <v>CORRECT</v>
      </c>
      <c r="G37" s="39" t="s">
        <v>36</v>
      </c>
      <c r="H37" s="41" t="s">
        <v>36</v>
      </c>
      <c r="I37" s="53" t="s">
        <v>202</v>
      </c>
      <c r="J37" s="41">
        <v>28504.0</v>
      </c>
    </row>
    <row r="38" ht="60.0" customHeight="1">
      <c r="A38" s="39">
        <v>35.0</v>
      </c>
      <c r="B38" s="40" t="s">
        <v>203</v>
      </c>
      <c r="C38" s="40" t="s">
        <v>204</v>
      </c>
      <c r="D38" s="40" t="s">
        <v>205</v>
      </c>
      <c r="E38" s="40" t="s">
        <v>206</v>
      </c>
      <c r="F38" s="39" t="str">
        <f t="shared" si="1"/>
        <v>WRONG</v>
      </c>
      <c r="G38" s="39" t="s">
        <v>48</v>
      </c>
      <c r="H38" s="41" t="s">
        <v>36</v>
      </c>
      <c r="I38" s="53" t="s">
        <v>207</v>
      </c>
      <c r="J38" s="41">
        <v>29788.0</v>
      </c>
    </row>
    <row r="39" ht="60.0" customHeight="1">
      <c r="A39" s="39">
        <v>36.0</v>
      </c>
      <c r="B39" s="40" t="s">
        <v>208</v>
      </c>
      <c r="C39" s="40" t="s">
        <v>209</v>
      </c>
      <c r="D39" s="40" t="s">
        <v>210</v>
      </c>
      <c r="E39" s="40" t="s">
        <v>211</v>
      </c>
      <c r="F39" s="39" t="str">
        <f t="shared" si="1"/>
        <v>CORRECT</v>
      </c>
      <c r="G39" s="39" t="s">
        <v>36</v>
      </c>
      <c r="H39" s="41" t="s">
        <v>36</v>
      </c>
      <c r="I39" s="53" t="s">
        <v>212</v>
      </c>
      <c r="J39" s="41">
        <v>19773.0</v>
      </c>
    </row>
    <row r="40" ht="60.0" customHeight="1">
      <c r="A40" s="39">
        <v>37.0</v>
      </c>
      <c r="B40" s="40" t="s">
        <v>213</v>
      </c>
      <c r="C40" s="40" t="s">
        <v>214</v>
      </c>
      <c r="D40" s="40" t="s">
        <v>215</v>
      </c>
      <c r="E40" s="40" t="s">
        <v>216</v>
      </c>
      <c r="F40" s="39" t="str">
        <f t="shared" si="1"/>
        <v>WRONG</v>
      </c>
      <c r="G40" s="39" t="s">
        <v>36</v>
      </c>
      <c r="H40" s="41" t="s">
        <v>42</v>
      </c>
      <c r="I40" s="53" t="s">
        <v>217</v>
      </c>
      <c r="J40" s="41">
        <v>23257.0</v>
      </c>
    </row>
    <row r="41" ht="60.0" customHeight="1">
      <c r="A41" s="39">
        <v>38.0</v>
      </c>
      <c r="B41" s="40" t="s">
        <v>218</v>
      </c>
      <c r="C41" s="40" t="s">
        <v>219</v>
      </c>
      <c r="D41" s="40" t="s">
        <v>220</v>
      </c>
      <c r="E41" s="40" t="s">
        <v>221</v>
      </c>
      <c r="F41" s="39" t="str">
        <f t="shared" si="1"/>
        <v>CORRECT</v>
      </c>
      <c r="G41" s="39" t="s">
        <v>36</v>
      </c>
      <c r="H41" s="41" t="s">
        <v>36</v>
      </c>
      <c r="I41" s="53" t="s">
        <v>222</v>
      </c>
      <c r="J41" s="41">
        <v>26551.0</v>
      </c>
    </row>
    <row r="42" ht="60.0" customHeight="1">
      <c r="A42" s="39">
        <v>39.0</v>
      </c>
      <c r="B42" s="40" t="s">
        <v>223</v>
      </c>
      <c r="C42" s="40" t="s">
        <v>224</v>
      </c>
      <c r="D42" s="40" t="s">
        <v>225</v>
      </c>
      <c r="E42" s="40" t="s">
        <v>226</v>
      </c>
      <c r="F42" s="39" t="str">
        <f t="shared" si="1"/>
        <v>WRONG</v>
      </c>
      <c r="G42" s="39" t="s">
        <v>42</v>
      </c>
      <c r="H42" s="41" t="s">
        <v>36</v>
      </c>
      <c r="I42" s="53" t="s">
        <v>227</v>
      </c>
      <c r="J42" s="41">
        <v>17515.0</v>
      </c>
    </row>
    <row r="43" ht="60.0" customHeight="1">
      <c r="A43" s="39">
        <v>40.0</v>
      </c>
      <c r="B43" s="40" t="s">
        <v>228</v>
      </c>
      <c r="C43" s="40" t="s">
        <v>229</v>
      </c>
      <c r="D43" s="40" t="s">
        <v>230</v>
      </c>
      <c r="E43" s="40" t="s">
        <v>231</v>
      </c>
      <c r="F43" s="39" t="str">
        <f t="shared" si="1"/>
        <v>CORRECT</v>
      </c>
      <c r="G43" s="39" t="s">
        <v>48</v>
      </c>
      <c r="H43" s="41" t="s">
        <v>48</v>
      </c>
      <c r="I43" s="53" t="s">
        <v>232</v>
      </c>
      <c r="J43" s="41">
        <v>33460.0</v>
      </c>
    </row>
    <row r="44" ht="60.0" customHeight="1">
      <c r="A44" s="39">
        <v>41.0</v>
      </c>
      <c r="B44" s="40" t="s">
        <v>233</v>
      </c>
      <c r="C44" s="40" t="s">
        <v>234</v>
      </c>
      <c r="D44" s="40" t="s">
        <v>235</v>
      </c>
      <c r="E44" s="40" t="s">
        <v>236</v>
      </c>
      <c r="F44" s="39" t="str">
        <f t="shared" si="1"/>
        <v>CORRECT</v>
      </c>
      <c r="G44" s="39" t="s">
        <v>42</v>
      </c>
      <c r="H44" s="41" t="s">
        <v>42</v>
      </c>
      <c r="I44" s="53" t="s">
        <v>237</v>
      </c>
      <c r="J44" s="41">
        <v>11668.0</v>
      </c>
    </row>
    <row r="45" ht="60.0" customHeight="1">
      <c r="A45" s="39">
        <v>42.0</v>
      </c>
      <c r="B45" s="40" t="s">
        <v>238</v>
      </c>
      <c r="C45" s="40" t="s">
        <v>239</v>
      </c>
      <c r="D45" s="40" t="s">
        <v>240</v>
      </c>
      <c r="E45" s="40" t="s">
        <v>241</v>
      </c>
      <c r="F45" s="39" t="str">
        <f t="shared" si="1"/>
        <v>WRONG</v>
      </c>
      <c r="G45" s="39" t="s">
        <v>36</v>
      </c>
      <c r="H45" s="41" t="s">
        <v>42</v>
      </c>
      <c r="I45" s="53" t="s">
        <v>242</v>
      </c>
      <c r="J45" s="41">
        <v>34022.0</v>
      </c>
    </row>
    <row r="46" ht="60.0" customHeight="1">
      <c r="A46" s="39">
        <v>43.0</v>
      </c>
      <c r="B46" s="40" t="s">
        <v>243</v>
      </c>
      <c r="C46" s="40" t="s">
        <v>244</v>
      </c>
      <c r="D46" s="40" t="s">
        <v>245</v>
      </c>
      <c r="E46" s="40" t="s">
        <v>246</v>
      </c>
      <c r="F46" s="39" t="str">
        <f t="shared" si="1"/>
        <v>CORRECT</v>
      </c>
      <c r="G46" s="39" t="s">
        <v>48</v>
      </c>
      <c r="H46" s="41" t="s">
        <v>48</v>
      </c>
      <c r="I46" s="53" t="s">
        <v>247</v>
      </c>
      <c r="J46" s="41">
        <v>21184.0</v>
      </c>
    </row>
    <row r="47" ht="60.0" customHeight="1">
      <c r="A47" s="39">
        <v>44.0</v>
      </c>
      <c r="B47" s="40" t="s">
        <v>248</v>
      </c>
      <c r="C47" s="40" t="s">
        <v>249</v>
      </c>
      <c r="D47" s="40" t="s">
        <v>250</v>
      </c>
      <c r="E47" s="40" t="s">
        <v>251</v>
      </c>
      <c r="F47" s="39" t="str">
        <f t="shared" si="1"/>
        <v>WRONG</v>
      </c>
      <c r="G47" s="39" t="s">
        <v>36</v>
      </c>
      <c r="H47" s="41" t="s">
        <v>48</v>
      </c>
      <c r="I47" s="53" t="s">
        <v>252</v>
      </c>
      <c r="J47" s="41">
        <v>22555.0</v>
      </c>
    </row>
    <row r="48" ht="60.0" customHeight="1">
      <c r="A48" s="39">
        <v>45.0</v>
      </c>
      <c r="B48" s="40" t="s">
        <v>253</v>
      </c>
      <c r="C48" s="40" t="s">
        <v>254</v>
      </c>
      <c r="D48" s="40" t="s">
        <v>255</v>
      </c>
      <c r="E48" s="40" t="s">
        <v>256</v>
      </c>
      <c r="F48" s="39" t="str">
        <f t="shared" si="1"/>
        <v>CORRECT</v>
      </c>
      <c r="G48" s="39" t="s">
        <v>36</v>
      </c>
      <c r="H48" s="41" t="s">
        <v>36</v>
      </c>
      <c r="I48" s="53" t="s">
        <v>257</v>
      </c>
      <c r="J48" s="41">
        <v>31143.0</v>
      </c>
    </row>
    <row r="49" ht="60.0" customHeight="1">
      <c r="A49" s="39">
        <v>46.0</v>
      </c>
      <c r="B49" s="40" t="s">
        <v>258</v>
      </c>
      <c r="C49" s="40" t="s">
        <v>39</v>
      </c>
      <c r="D49" s="40" t="s">
        <v>259</v>
      </c>
      <c r="E49" s="40" t="s">
        <v>260</v>
      </c>
      <c r="F49" s="39" t="str">
        <f t="shared" si="1"/>
        <v>CORRECT</v>
      </c>
      <c r="G49" s="39" t="s">
        <v>36</v>
      </c>
      <c r="H49" s="41" t="s">
        <v>36</v>
      </c>
      <c r="I49" s="53" t="s">
        <v>261</v>
      </c>
      <c r="J49" s="41">
        <v>25790.0</v>
      </c>
    </row>
    <row r="50">
      <c r="A50" s="44" t="s">
        <v>262</v>
      </c>
      <c r="B50" s="2"/>
      <c r="C50" s="2"/>
      <c r="D50" s="2"/>
      <c r="E50" s="3"/>
      <c r="F50" s="45">
        <f>COUNTIFS(F4:F49,"CORRECT")</f>
        <v>30</v>
      </c>
      <c r="G50" s="46"/>
      <c r="H50" s="46"/>
      <c r="J50" s="47">
        <f>AVERAGE(J4:J49)</f>
        <v>27413.93478</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310</v>
      </c>
      <c r="C2" s="2"/>
      <c r="D2" s="2"/>
      <c r="E2" s="2"/>
      <c r="F2" s="2"/>
      <c r="G2" s="2"/>
      <c r="H2" s="3"/>
      <c r="I2" s="37" t="s">
        <v>311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53" t="s">
        <v>37</v>
      </c>
      <c r="J4" s="41">
        <v>33443.0</v>
      </c>
    </row>
    <row r="5" ht="60.0" customHeight="1">
      <c r="A5" s="39">
        <v>2.0</v>
      </c>
      <c r="B5" s="40" t="s">
        <v>38</v>
      </c>
      <c r="C5" s="40" t="s">
        <v>39</v>
      </c>
      <c r="D5" s="40" t="s">
        <v>40</v>
      </c>
      <c r="E5" s="40" t="s">
        <v>41</v>
      </c>
      <c r="F5" s="39" t="str">
        <f t="shared" si="1"/>
        <v>CORRECT</v>
      </c>
      <c r="G5" s="39" t="s">
        <v>42</v>
      </c>
      <c r="H5" s="41" t="s">
        <v>42</v>
      </c>
      <c r="I5" s="53" t="s">
        <v>312</v>
      </c>
      <c r="J5" s="41">
        <v>29699.0</v>
      </c>
    </row>
    <row r="6" ht="60.0" customHeight="1">
      <c r="A6" s="39">
        <v>3.0</v>
      </c>
      <c r="B6" s="40" t="s">
        <v>44</v>
      </c>
      <c r="C6" s="40" t="s">
        <v>45</v>
      </c>
      <c r="D6" s="40" t="s">
        <v>46</v>
      </c>
      <c r="E6" s="40" t="s">
        <v>47</v>
      </c>
      <c r="F6" s="39" t="str">
        <f t="shared" si="1"/>
        <v>CORRECT</v>
      </c>
      <c r="G6" s="39" t="s">
        <v>48</v>
      </c>
      <c r="H6" s="41" t="s">
        <v>48</v>
      </c>
      <c r="I6" s="53" t="s">
        <v>49</v>
      </c>
      <c r="J6" s="41">
        <v>29616.0</v>
      </c>
    </row>
    <row r="7" ht="60.0" customHeight="1">
      <c r="A7" s="39">
        <v>4.0</v>
      </c>
      <c r="B7" s="40" t="s">
        <v>50</v>
      </c>
      <c r="C7" s="40" t="s">
        <v>51</v>
      </c>
      <c r="D7" s="40" t="s">
        <v>52</v>
      </c>
      <c r="E7" s="40" t="s">
        <v>53</v>
      </c>
      <c r="F7" s="39" t="str">
        <f t="shared" si="1"/>
        <v>CORRECT</v>
      </c>
      <c r="G7" s="39" t="s">
        <v>42</v>
      </c>
      <c r="H7" s="41" t="s">
        <v>42</v>
      </c>
      <c r="I7" s="53" t="s">
        <v>313</v>
      </c>
      <c r="J7" s="41">
        <v>19914.0</v>
      </c>
    </row>
    <row r="8" ht="60.0" customHeight="1">
      <c r="A8" s="39">
        <v>5.0</v>
      </c>
      <c r="B8" s="40" t="s">
        <v>55</v>
      </c>
      <c r="C8" s="40" t="s">
        <v>56</v>
      </c>
      <c r="D8" s="40" t="s">
        <v>57</v>
      </c>
      <c r="E8" s="40" t="s">
        <v>58</v>
      </c>
      <c r="F8" s="39" t="str">
        <f t="shared" si="1"/>
        <v>CORRECT</v>
      </c>
      <c r="G8" s="39" t="s">
        <v>48</v>
      </c>
      <c r="H8" s="43" t="s">
        <v>48</v>
      </c>
      <c r="I8" s="53" t="s">
        <v>314</v>
      </c>
      <c r="J8" s="41">
        <v>67648.0</v>
      </c>
    </row>
    <row r="9" ht="60.0" customHeight="1">
      <c r="A9" s="39">
        <v>6.0</v>
      </c>
      <c r="B9" s="40" t="s">
        <v>60</v>
      </c>
      <c r="C9" s="40" t="s">
        <v>61</v>
      </c>
      <c r="D9" s="40" t="s">
        <v>62</v>
      </c>
      <c r="E9" s="40" t="s">
        <v>63</v>
      </c>
      <c r="F9" s="39" t="str">
        <f t="shared" si="1"/>
        <v>CORRECT</v>
      </c>
      <c r="G9" s="39" t="s">
        <v>42</v>
      </c>
      <c r="H9" s="41" t="s">
        <v>42</v>
      </c>
      <c r="I9" s="53" t="s">
        <v>315</v>
      </c>
      <c r="J9" s="41">
        <v>31215.0</v>
      </c>
    </row>
    <row r="10" ht="60.0" customHeight="1">
      <c r="A10" s="39">
        <v>7.0</v>
      </c>
      <c r="B10" s="40" t="s">
        <v>65</v>
      </c>
      <c r="C10" s="40" t="s">
        <v>66</v>
      </c>
      <c r="D10" s="40" t="s">
        <v>67</v>
      </c>
      <c r="E10" s="40" t="s">
        <v>68</v>
      </c>
      <c r="F10" s="39" t="str">
        <f t="shared" si="1"/>
        <v>WRONG</v>
      </c>
      <c r="G10" s="39" t="s">
        <v>42</v>
      </c>
      <c r="H10" s="41" t="s">
        <v>36</v>
      </c>
      <c r="I10" s="53" t="s">
        <v>316</v>
      </c>
      <c r="J10" s="41">
        <v>28215.0</v>
      </c>
    </row>
    <row r="11" ht="60.0" customHeight="1">
      <c r="A11" s="39">
        <v>8.0</v>
      </c>
      <c r="B11" s="40" t="s">
        <v>70</v>
      </c>
      <c r="C11" s="40" t="s">
        <v>71</v>
      </c>
      <c r="D11" s="40" t="s">
        <v>72</v>
      </c>
      <c r="E11" s="40" t="s">
        <v>73</v>
      </c>
      <c r="F11" s="39" t="str">
        <f t="shared" si="1"/>
        <v>WRONG</v>
      </c>
      <c r="G11" s="39" t="s">
        <v>48</v>
      </c>
      <c r="H11" s="41" t="s">
        <v>42</v>
      </c>
      <c r="I11" s="53" t="s">
        <v>317</v>
      </c>
      <c r="J11" s="41">
        <v>28488.0</v>
      </c>
    </row>
    <row r="12" ht="60.0" customHeight="1">
      <c r="A12" s="39">
        <v>9.0</v>
      </c>
      <c r="B12" s="40" t="s">
        <v>75</v>
      </c>
      <c r="C12" s="40" t="s">
        <v>76</v>
      </c>
      <c r="D12" s="40" t="s">
        <v>77</v>
      </c>
      <c r="E12" s="40" t="s">
        <v>78</v>
      </c>
      <c r="F12" s="39" t="str">
        <f t="shared" si="1"/>
        <v>WRONG</v>
      </c>
      <c r="G12" s="39" t="s">
        <v>42</v>
      </c>
      <c r="H12" s="41" t="s">
        <v>48</v>
      </c>
      <c r="I12" s="53" t="s">
        <v>318</v>
      </c>
      <c r="J12" s="41">
        <v>28056.0</v>
      </c>
    </row>
    <row r="13" ht="60.0" customHeight="1">
      <c r="A13" s="39">
        <v>10.0</v>
      </c>
      <c r="B13" s="40" t="s">
        <v>80</v>
      </c>
      <c r="C13" s="40" t="s">
        <v>81</v>
      </c>
      <c r="D13" s="40" t="s">
        <v>82</v>
      </c>
      <c r="E13" s="40" t="s">
        <v>83</v>
      </c>
      <c r="F13" s="39" t="str">
        <f t="shared" si="1"/>
        <v>CORRECT</v>
      </c>
      <c r="G13" s="39" t="s">
        <v>48</v>
      </c>
      <c r="H13" s="41" t="s">
        <v>48</v>
      </c>
      <c r="I13" s="53" t="s">
        <v>319</v>
      </c>
      <c r="J13" s="41">
        <v>43031.0</v>
      </c>
    </row>
    <row r="14" ht="60.0" customHeight="1">
      <c r="A14" s="39">
        <v>11.0</v>
      </c>
      <c r="B14" s="40" t="s">
        <v>85</v>
      </c>
      <c r="C14" s="40" t="s">
        <v>86</v>
      </c>
      <c r="D14" s="40" t="s">
        <v>87</v>
      </c>
      <c r="E14" s="40" t="s">
        <v>88</v>
      </c>
      <c r="F14" s="39" t="str">
        <f t="shared" si="1"/>
        <v>CORRECT</v>
      </c>
      <c r="G14" s="39" t="s">
        <v>42</v>
      </c>
      <c r="H14" s="41" t="s">
        <v>42</v>
      </c>
      <c r="I14" s="53" t="s">
        <v>320</v>
      </c>
      <c r="J14" s="41">
        <v>39248.0</v>
      </c>
    </row>
    <row r="15" ht="60.0" customHeight="1">
      <c r="A15" s="39">
        <v>12.0</v>
      </c>
      <c r="B15" s="40" t="s">
        <v>90</v>
      </c>
      <c r="C15" s="40" t="s">
        <v>91</v>
      </c>
      <c r="D15" s="40" t="s">
        <v>92</v>
      </c>
      <c r="E15" s="40" t="s">
        <v>93</v>
      </c>
      <c r="F15" s="39" t="str">
        <f t="shared" si="1"/>
        <v>CORRECT</v>
      </c>
      <c r="G15" s="39" t="s">
        <v>48</v>
      </c>
      <c r="H15" s="41" t="s">
        <v>48</v>
      </c>
      <c r="I15" s="53" t="s">
        <v>321</v>
      </c>
      <c r="J15" s="41">
        <v>46345.0</v>
      </c>
    </row>
    <row r="16" ht="60.0" customHeight="1">
      <c r="A16" s="39">
        <v>13.0</v>
      </c>
      <c r="B16" s="40" t="s">
        <v>95</v>
      </c>
      <c r="C16" s="40" t="s">
        <v>96</v>
      </c>
      <c r="D16" s="40" t="s">
        <v>97</v>
      </c>
      <c r="E16" s="40" t="s">
        <v>98</v>
      </c>
      <c r="F16" s="39" t="str">
        <f t="shared" si="1"/>
        <v>CORRECT</v>
      </c>
      <c r="G16" s="39" t="s">
        <v>36</v>
      </c>
      <c r="H16" s="41" t="s">
        <v>36</v>
      </c>
      <c r="I16" s="53" t="s">
        <v>322</v>
      </c>
      <c r="J16" s="41">
        <v>24418.0</v>
      </c>
    </row>
    <row r="17" ht="60.0" customHeight="1">
      <c r="A17" s="39">
        <v>14.0</v>
      </c>
      <c r="B17" s="40" t="s">
        <v>100</v>
      </c>
      <c r="C17" s="40" t="s">
        <v>101</v>
      </c>
      <c r="D17" s="40" t="s">
        <v>102</v>
      </c>
      <c r="E17" s="40" t="s">
        <v>103</v>
      </c>
      <c r="F17" s="39" t="str">
        <f t="shared" si="1"/>
        <v>WRONG</v>
      </c>
      <c r="G17" s="39" t="s">
        <v>36</v>
      </c>
      <c r="H17" s="41" t="s">
        <v>48</v>
      </c>
      <c r="I17" s="53" t="s">
        <v>323</v>
      </c>
      <c r="J17" s="41">
        <v>21271.0</v>
      </c>
    </row>
    <row r="18" ht="60.0" customHeight="1">
      <c r="A18" s="39">
        <v>15.0</v>
      </c>
      <c r="B18" s="40" t="s">
        <v>105</v>
      </c>
      <c r="C18" s="40" t="s">
        <v>106</v>
      </c>
      <c r="D18" s="40" t="s">
        <v>107</v>
      </c>
      <c r="E18" s="40" t="s">
        <v>108</v>
      </c>
      <c r="F18" s="39" t="str">
        <f t="shared" si="1"/>
        <v>CORRECT</v>
      </c>
      <c r="G18" s="39" t="s">
        <v>48</v>
      </c>
      <c r="H18" s="41" t="s">
        <v>48</v>
      </c>
      <c r="I18" s="53" t="s">
        <v>324</v>
      </c>
      <c r="J18" s="41">
        <v>33276.0</v>
      </c>
    </row>
    <row r="19" ht="60.0" customHeight="1">
      <c r="A19" s="39">
        <v>16.0</v>
      </c>
      <c r="B19" s="40" t="s">
        <v>110</v>
      </c>
      <c r="C19" s="40" t="s">
        <v>111</v>
      </c>
      <c r="D19" s="40" t="s">
        <v>112</v>
      </c>
      <c r="E19" s="40" t="s">
        <v>113</v>
      </c>
      <c r="F19" s="39" t="str">
        <f t="shared" si="1"/>
        <v>CORRECT</v>
      </c>
      <c r="G19" s="39" t="s">
        <v>48</v>
      </c>
      <c r="H19" s="43" t="s">
        <v>48</v>
      </c>
      <c r="I19" s="53" t="s">
        <v>114</v>
      </c>
      <c r="J19" s="41">
        <v>24608.0</v>
      </c>
    </row>
    <row r="20" ht="60.0" customHeight="1">
      <c r="A20" s="39">
        <v>17.0</v>
      </c>
      <c r="B20" s="40" t="s">
        <v>115</v>
      </c>
      <c r="C20" s="40" t="s">
        <v>116</v>
      </c>
      <c r="D20" s="40" t="s">
        <v>117</v>
      </c>
      <c r="E20" s="40" t="s">
        <v>118</v>
      </c>
      <c r="F20" s="39" t="str">
        <f t="shared" si="1"/>
        <v>WRONG</v>
      </c>
      <c r="G20" s="39" t="s">
        <v>42</v>
      </c>
      <c r="H20" s="41" t="s">
        <v>36</v>
      </c>
      <c r="I20" s="53" t="s">
        <v>325</v>
      </c>
      <c r="J20" s="41">
        <v>28333.0</v>
      </c>
    </row>
    <row r="21" ht="60.0" customHeight="1">
      <c r="A21" s="39">
        <v>18.0</v>
      </c>
      <c r="B21" s="40" t="s">
        <v>120</v>
      </c>
      <c r="C21" s="40" t="s">
        <v>121</v>
      </c>
      <c r="D21" s="40" t="s">
        <v>122</v>
      </c>
      <c r="E21" s="40" t="s">
        <v>123</v>
      </c>
      <c r="F21" s="39" t="str">
        <f t="shared" si="1"/>
        <v>CORRECT</v>
      </c>
      <c r="G21" s="39" t="s">
        <v>42</v>
      </c>
      <c r="H21" s="41" t="s">
        <v>42</v>
      </c>
      <c r="I21" s="53" t="s">
        <v>326</v>
      </c>
      <c r="J21" s="41">
        <v>29242.0</v>
      </c>
    </row>
    <row r="22" ht="60.0" customHeight="1">
      <c r="A22" s="39">
        <v>19.0</v>
      </c>
      <c r="B22" s="40" t="s">
        <v>125</v>
      </c>
      <c r="C22" s="40" t="s">
        <v>126</v>
      </c>
      <c r="D22" s="40" t="s">
        <v>127</v>
      </c>
      <c r="E22" s="40" t="s">
        <v>128</v>
      </c>
      <c r="F22" s="39" t="str">
        <f t="shared" si="1"/>
        <v>WRONG</v>
      </c>
      <c r="G22" s="39" t="s">
        <v>36</v>
      </c>
      <c r="H22" s="43" t="s">
        <v>48</v>
      </c>
      <c r="I22" s="53" t="s">
        <v>327</v>
      </c>
      <c r="J22" s="41">
        <v>30614.0</v>
      </c>
    </row>
    <row r="23" ht="60.0" customHeight="1">
      <c r="A23" s="39">
        <v>20.0</v>
      </c>
      <c r="B23" s="40" t="s">
        <v>130</v>
      </c>
      <c r="C23" s="40" t="s">
        <v>131</v>
      </c>
      <c r="D23" s="40" t="s">
        <v>132</v>
      </c>
      <c r="E23" s="40" t="s">
        <v>133</v>
      </c>
      <c r="F23" s="39" t="str">
        <f t="shared" si="1"/>
        <v>WRONG</v>
      </c>
      <c r="G23" s="39" t="s">
        <v>42</v>
      </c>
      <c r="H23" s="41" t="s">
        <v>48</v>
      </c>
      <c r="I23" s="53" t="s">
        <v>328</v>
      </c>
      <c r="J23" s="41">
        <v>13103.0</v>
      </c>
    </row>
    <row r="24" ht="60.0" customHeight="1">
      <c r="A24" s="39">
        <v>21.0</v>
      </c>
      <c r="B24" s="40" t="s">
        <v>135</v>
      </c>
      <c r="C24" s="40" t="s">
        <v>136</v>
      </c>
      <c r="D24" s="40" t="s">
        <v>137</v>
      </c>
      <c r="E24" s="40" t="s">
        <v>138</v>
      </c>
      <c r="F24" s="39" t="str">
        <f t="shared" si="1"/>
        <v>WRONG</v>
      </c>
      <c r="G24" s="39" t="s">
        <v>42</v>
      </c>
      <c r="H24" s="41" t="s">
        <v>36</v>
      </c>
      <c r="I24" s="53" t="s">
        <v>329</v>
      </c>
      <c r="J24" s="41">
        <v>23611.0</v>
      </c>
    </row>
    <row r="25" ht="60.0" customHeight="1">
      <c r="A25" s="39">
        <v>22.0</v>
      </c>
      <c r="B25" s="40" t="s">
        <v>140</v>
      </c>
      <c r="C25" s="40" t="s">
        <v>141</v>
      </c>
      <c r="D25" s="40" t="s">
        <v>142</v>
      </c>
      <c r="E25" s="40" t="s">
        <v>143</v>
      </c>
      <c r="F25" s="39" t="str">
        <f t="shared" si="1"/>
        <v>CORRECT</v>
      </c>
      <c r="G25" s="39" t="s">
        <v>42</v>
      </c>
      <c r="H25" s="41" t="s">
        <v>42</v>
      </c>
      <c r="I25" s="53" t="s">
        <v>144</v>
      </c>
      <c r="J25" s="41">
        <v>19586.0</v>
      </c>
    </row>
    <row r="26" ht="60.0" customHeight="1">
      <c r="A26" s="39">
        <v>23.0</v>
      </c>
      <c r="B26" s="40" t="s">
        <v>145</v>
      </c>
      <c r="C26" s="40" t="s">
        <v>146</v>
      </c>
      <c r="D26" s="40" t="s">
        <v>147</v>
      </c>
      <c r="E26" s="40" t="s">
        <v>148</v>
      </c>
      <c r="F26" s="39" t="str">
        <f t="shared" si="1"/>
        <v>CORRECT</v>
      </c>
      <c r="G26" s="39" t="s">
        <v>48</v>
      </c>
      <c r="H26" s="41" t="s">
        <v>48</v>
      </c>
      <c r="I26" s="53" t="s">
        <v>330</v>
      </c>
      <c r="J26" s="41">
        <v>19934.0</v>
      </c>
    </row>
    <row r="27" ht="60.0" customHeight="1">
      <c r="A27" s="39">
        <v>24.0</v>
      </c>
      <c r="B27" s="40" t="s">
        <v>150</v>
      </c>
      <c r="C27" s="40" t="s">
        <v>151</v>
      </c>
      <c r="D27" s="40" t="s">
        <v>152</v>
      </c>
      <c r="E27" s="40" t="s">
        <v>153</v>
      </c>
      <c r="F27" s="39" t="str">
        <f t="shared" si="1"/>
        <v>CORRECT</v>
      </c>
      <c r="G27" s="39" t="s">
        <v>36</v>
      </c>
      <c r="H27" s="41" t="s">
        <v>36</v>
      </c>
      <c r="I27" s="53" t="s">
        <v>331</v>
      </c>
      <c r="J27" s="41">
        <v>27854.0</v>
      </c>
    </row>
    <row r="28" ht="60.0" customHeight="1">
      <c r="A28" s="39">
        <v>25.0</v>
      </c>
      <c r="B28" s="40" t="s">
        <v>155</v>
      </c>
      <c r="C28" s="40" t="s">
        <v>151</v>
      </c>
      <c r="D28" s="40" t="s">
        <v>156</v>
      </c>
      <c r="E28" s="40" t="s">
        <v>153</v>
      </c>
      <c r="F28" s="39" t="str">
        <f t="shared" si="1"/>
        <v>CORRECT</v>
      </c>
      <c r="G28" s="39" t="s">
        <v>48</v>
      </c>
      <c r="H28" s="43" t="s">
        <v>48</v>
      </c>
      <c r="I28" s="53" t="s">
        <v>332</v>
      </c>
      <c r="J28" s="41">
        <v>17475.0</v>
      </c>
    </row>
    <row r="29" ht="60.0" customHeight="1">
      <c r="A29" s="39">
        <v>26.0</v>
      </c>
      <c r="B29" s="40" t="s">
        <v>158</v>
      </c>
      <c r="C29" s="40" t="s">
        <v>159</v>
      </c>
      <c r="D29" s="40" t="s">
        <v>160</v>
      </c>
      <c r="E29" s="40" t="s">
        <v>161</v>
      </c>
      <c r="F29" s="39" t="str">
        <f t="shared" si="1"/>
        <v>WRONG</v>
      </c>
      <c r="G29" s="39" t="s">
        <v>36</v>
      </c>
      <c r="H29" s="41" t="s">
        <v>48</v>
      </c>
      <c r="I29" s="53" t="s">
        <v>333</v>
      </c>
      <c r="J29" s="41">
        <v>31648.0</v>
      </c>
    </row>
    <row r="30" ht="60.0" customHeight="1">
      <c r="A30" s="39">
        <v>27.0</v>
      </c>
      <c r="B30" s="40" t="s">
        <v>163</v>
      </c>
      <c r="C30" s="40" t="s">
        <v>164</v>
      </c>
      <c r="D30" s="40" t="s">
        <v>165</v>
      </c>
      <c r="E30" s="40" t="s">
        <v>166</v>
      </c>
      <c r="F30" s="39" t="str">
        <f t="shared" si="1"/>
        <v>CORRECT</v>
      </c>
      <c r="G30" s="39" t="s">
        <v>42</v>
      </c>
      <c r="H30" s="41" t="s">
        <v>42</v>
      </c>
      <c r="I30" s="53" t="s">
        <v>334</v>
      </c>
      <c r="J30" s="41">
        <v>31005.0</v>
      </c>
    </row>
    <row r="31" ht="60.0" customHeight="1">
      <c r="A31" s="39">
        <v>28.0</v>
      </c>
      <c r="B31" s="40" t="s">
        <v>168</v>
      </c>
      <c r="C31" s="40" t="s">
        <v>169</v>
      </c>
      <c r="D31" s="40" t="s">
        <v>170</v>
      </c>
      <c r="E31" s="40" t="s">
        <v>171</v>
      </c>
      <c r="F31" s="39" t="str">
        <f t="shared" si="1"/>
        <v>WRONG</v>
      </c>
      <c r="G31" s="39" t="s">
        <v>36</v>
      </c>
      <c r="H31" s="41" t="s">
        <v>48</v>
      </c>
      <c r="I31" s="53" t="s">
        <v>172</v>
      </c>
      <c r="J31" s="41">
        <v>24250.0</v>
      </c>
    </row>
    <row r="32" ht="60.0" customHeight="1">
      <c r="A32" s="39">
        <v>29.0</v>
      </c>
      <c r="B32" s="40" t="s">
        <v>173</v>
      </c>
      <c r="C32" s="40" t="s">
        <v>174</v>
      </c>
      <c r="D32" s="40" t="s">
        <v>175</v>
      </c>
      <c r="E32" s="40" t="s">
        <v>176</v>
      </c>
      <c r="F32" s="39" t="str">
        <f t="shared" si="1"/>
        <v>CORRECT</v>
      </c>
      <c r="G32" s="39" t="s">
        <v>42</v>
      </c>
      <c r="H32" s="41" t="s">
        <v>42</v>
      </c>
      <c r="I32" s="53" t="s">
        <v>335</v>
      </c>
      <c r="J32" s="41">
        <v>27436.0</v>
      </c>
    </row>
    <row r="33" ht="60.0" customHeight="1">
      <c r="A33" s="39">
        <v>30.0</v>
      </c>
      <c r="B33" s="40" t="s">
        <v>178</v>
      </c>
      <c r="C33" s="40" t="s">
        <v>179</v>
      </c>
      <c r="D33" s="40" t="s">
        <v>180</v>
      </c>
      <c r="E33" s="40" t="s">
        <v>181</v>
      </c>
      <c r="F33" s="39" t="str">
        <f t="shared" si="1"/>
        <v>WRONG</v>
      </c>
      <c r="G33" s="39" t="s">
        <v>48</v>
      </c>
      <c r="H33" s="41" t="s">
        <v>36</v>
      </c>
      <c r="I33" s="53" t="s">
        <v>336</v>
      </c>
      <c r="J33" s="41">
        <v>31996.0</v>
      </c>
    </row>
    <row r="34" ht="60.0" customHeight="1">
      <c r="A34" s="39">
        <v>31.0</v>
      </c>
      <c r="B34" s="40" t="s">
        <v>183</v>
      </c>
      <c r="C34" s="40" t="s">
        <v>184</v>
      </c>
      <c r="D34" s="40" t="s">
        <v>185</v>
      </c>
      <c r="E34" s="40" t="s">
        <v>186</v>
      </c>
      <c r="F34" s="39" t="str">
        <f t="shared" si="1"/>
        <v>WRONG</v>
      </c>
      <c r="G34" s="39" t="s">
        <v>42</v>
      </c>
      <c r="H34" s="41" t="s">
        <v>36</v>
      </c>
      <c r="I34" s="53" t="s">
        <v>337</v>
      </c>
      <c r="J34" s="41">
        <v>30316.0</v>
      </c>
    </row>
    <row r="35" ht="60.0" customHeight="1">
      <c r="A35" s="39">
        <v>32.0</v>
      </c>
      <c r="B35" s="40" t="s">
        <v>188</v>
      </c>
      <c r="C35" s="40" t="s">
        <v>189</v>
      </c>
      <c r="D35" s="40" t="s">
        <v>190</v>
      </c>
      <c r="E35" s="40" t="s">
        <v>191</v>
      </c>
      <c r="F35" s="39" t="str">
        <f t="shared" si="1"/>
        <v>CORRECT</v>
      </c>
      <c r="G35" s="39" t="s">
        <v>36</v>
      </c>
      <c r="H35" s="41" t="s">
        <v>36</v>
      </c>
      <c r="I35" s="53" t="s">
        <v>192</v>
      </c>
      <c r="J35" s="41">
        <v>37703.0</v>
      </c>
    </row>
    <row r="36" ht="60.0" customHeight="1">
      <c r="A36" s="39">
        <v>33.0</v>
      </c>
      <c r="B36" s="40" t="s">
        <v>193</v>
      </c>
      <c r="C36" s="40" t="s">
        <v>194</v>
      </c>
      <c r="D36" s="40" t="s">
        <v>195</v>
      </c>
      <c r="E36" s="40" t="s">
        <v>196</v>
      </c>
      <c r="F36" s="39" t="str">
        <f t="shared" si="1"/>
        <v>WRONG</v>
      </c>
      <c r="G36" s="39" t="s">
        <v>48</v>
      </c>
      <c r="H36" s="43" t="s">
        <v>42</v>
      </c>
      <c r="I36" s="53" t="s">
        <v>338</v>
      </c>
      <c r="J36" s="41">
        <v>27842.0</v>
      </c>
    </row>
    <row r="37" ht="60.0" customHeight="1">
      <c r="A37" s="39">
        <v>34.0</v>
      </c>
      <c r="B37" s="40" t="s">
        <v>198</v>
      </c>
      <c r="C37" s="40" t="s">
        <v>199</v>
      </c>
      <c r="D37" s="40" t="s">
        <v>200</v>
      </c>
      <c r="E37" s="40" t="s">
        <v>201</v>
      </c>
      <c r="F37" s="39" t="str">
        <f t="shared" si="1"/>
        <v>CORRECT</v>
      </c>
      <c r="G37" s="39" t="s">
        <v>36</v>
      </c>
      <c r="H37" s="41" t="s">
        <v>36</v>
      </c>
      <c r="I37" s="53" t="s">
        <v>339</v>
      </c>
      <c r="J37" s="41">
        <v>26142.0</v>
      </c>
    </row>
    <row r="38" ht="60.0" customHeight="1">
      <c r="A38" s="39">
        <v>35.0</v>
      </c>
      <c r="B38" s="40" t="s">
        <v>203</v>
      </c>
      <c r="C38" s="40" t="s">
        <v>204</v>
      </c>
      <c r="D38" s="40" t="s">
        <v>205</v>
      </c>
      <c r="E38" s="40" t="s">
        <v>206</v>
      </c>
      <c r="F38" s="39" t="str">
        <f t="shared" si="1"/>
        <v>WRONG</v>
      </c>
      <c r="G38" s="39" t="s">
        <v>48</v>
      </c>
      <c r="H38" s="41" t="s">
        <v>36</v>
      </c>
      <c r="I38" s="53" t="s">
        <v>340</v>
      </c>
      <c r="J38" s="41">
        <v>28516.0</v>
      </c>
    </row>
    <row r="39" ht="60.0" customHeight="1">
      <c r="A39" s="39">
        <v>36.0</v>
      </c>
      <c r="B39" s="40" t="s">
        <v>208</v>
      </c>
      <c r="C39" s="40" t="s">
        <v>209</v>
      </c>
      <c r="D39" s="40" t="s">
        <v>210</v>
      </c>
      <c r="E39" s="40" t="s">
        <v>211</v>
      </c>
      <c r="F39" s="39" t="str">
        <f t="shared" si="1"/>
        <v>CORRECT</v>
      </c>
      <c r="G39" s="39" t="s">
        <v>36</v>
      </c>
      <c r="H39" s="41" t="s">
        <v>36</v>
      </c>
      <c r="I39" s="53" t="s">
        <v>341</v>
      </c>
      <c r="J39" s="41">
        <v>24270.0</v>
      </c>
    </row>
    <row r="40" ht="60.0" customHeight="1">
      <c r="A40" s="39">
        <v>37.0</v>
      </c>
      <c r="B40" s="40" t="s">
        <v>213</v>
      </c>
      <c r="C40" s="40" t="s">
        <v>214</v>
      </c>
      <c r="D40" s="40" t="s">
        <v>215</v>
      </c>
      <c r="E40" s="40" t="s">
        <v>216</v>
      </c>
      <c r="F40" s="39" t="str">
        <f t="shared" si="1"/>
        <v>WRONG</v>
      </c>
      <c r="G40" s="39" t="s">
        <v>36</v>
      </c>
      <c r="H40" s="41" t="s">
        <v>42</v>
      </c>
      <c r="I40" s="53" t="s">
        <v>342</v>
      </c>
      <c r="J40" s="41">
        <v>22175.0</v>
      </c>
    </row>
    <row r="41" ht="60.0" customHeight="1">
      <c r="A41" s="39">
        <v>38.0</v>
      </c>
      <c r="B41" s="40" t="s">
        <v>218</v>
      </c>
      <c r="C41" s="40" t="s">
        <v>219</v>
      </c>
      <c r="D41" s="40" t="s">
        <v>220</v>
      </c>
      <c r="E41" s="40" t="s">
        <v>221</v>
      </c>
      <c r="F41" s="39" t="str">
        <f t="shared" si="1"/>
        <v>CORRECT</v>
      </c>
      <c r="G41" s="39" t="s">
        <v>36</v>
      </c>
      <c r="H41" s="41" t="s">
        <v>36</v>
      </c>
      <c r="I41" s="53" t="s">
        <v>343</v>
      </c>
      <c r="J41" s="41">
        <v>27285.0</v>
      </c>
    </row>
    <row r="42" ht="60.0" customHeight="1">
      <c r="A42" s="39">
        <v>39.0</v>
      </c>
      <c r="B42" s="40" t="s">
        <v>223</v>
      </c>
      <c r="C42" s="40" t="s">
        <v>224</v>
      </c>
      <c r="D42" s="40" t="s">
        <v>225</v>
      </c>
      <c r="E42" s="40" t="s">
        <v>226</v>
      </c>
      <c r="F42" s="39" t="str">
        <f t="shared" si="1"/>
        <v>WRONG</v>
      </c>
      <c r="G42" s="39" t="s">
        <v>42</v>
      </c>
      <c r="H42" s="41" t="s">
        <v>48</v>
      </c>
      <c r="I42" s="53" t="s">
        <v>344</v>
      </c>
      <c r="J42" s="41">
        <v>26157.0</v>
      </c>
    </row>
    <row r="43" ht="60.0" customHeight="1">
      <c r="A43" s="39">
        <v>40.0</v>
      </c>
      <c r="B43" s="40" t="s">
        <v>228</v>
      </c>
      <c r="C43" s="40" t="s">
        <v>229</v>
      </c>
      <c r="D43" s="40" t="s">
        <v>230</v>
      </c>
      <c r="E43" s="40" t="s">
        <v>231</v>
      </c>
      <c r="F43" s="39" t="str">
        <f t="shared" si="1"/>
        <v>CORRECT</v>
      </c>
      <c r="G43" s="39" t="s">
        <v>48</v>
      </c>
      <c r="H43" s="41" t="s">
        <v>48</v>
      </c>
      <c r="I43" s="53" t="s">
        <v>345</v>
      </c>
      <c r="J43" s="41">
        <v>34507.0</v>
      </c>
    </row>
    <row r="44" ht="60.0" customHeight="1">
      <c r="A44" s="39">
        <v>41.0</v>
      </c>
      <c r="B44" s="40" t="s">
        <v>233</v>
      </c>
      <c r="C44" s="40" t="s">
        <v>234</v>
      </c>
      <c r="D44" s="40" t="s">
        <v>235</v>
      </c>
      <c r="E44" s="40" t="s">
        <v>236</v>
      </c>
      <c r="F44" s="39" t="str">
        <f t="shared" si="1"/>
        <v>CORRECT</v>
      </c>
      <c r="G44" s="39" t="s">
        <v>42</v>
      </c>
      <c r="H44" s="41" t="s">
        <v>42</v>
      </c>
      <c r="I44" s="53" t="s">
        <v>237</v>
      </c>
      <c r="J44" s="41">
        <v>11685.0</v>
      </c>
    </row>
    <row r="45" ht="60.0" customHeight="1">
      <c r="A45" s="39">
        <v>42.0</v>
      </c>
      <c r="B45" s="40" t="s">
        <v>238</v>
      </c>
      <c r="C45" s="40" t="s">
        <v>239</v>
      </c>
      <c r="D45" s="40" t="s">
        <v>240</v>
      </c>
      <c r="E45" s="40" t="s">
        <v>241</v>
      </c>
      <c r="F45" s="39" t="str">
        <f t="shared" si="1"/>
        <v>WRONG</v>
      </c>
      <c r="G45" s="39" t="s">
        <v>36</v>
      </c>
      <c r="H45" s="41" t="s">
        <v>42</v>
      </c>
      <c r="I45" s="53" t="s">
        <v>346</v>
      </c>
      <c r="J45" s="41">
        <v>33240.0</v>
      </c>
    </row>
    <row r="46" ht="60.0" customHeight="1">
      <c r="A46" s="39">
        <v>43.0</v>
      </c>
      <c r="B46" s="40" t="s">
        <v>243</v>
      </c>
      <c r="C46" s="40" t="s">
        <v>244</v>
      </c>
      <c r="D46" s="40" t="s">
        <v>245</v>
      </c>
      <c r="E46" s="40" t="s">
        <v>246</v>
      </c>
      <c r="F46" s="39" t="str">
        <f t="shared" si="1"/>
        <v>WRONG</v>
      </c>
      <c r="G46" s="39" t="s">
        <v>48</v>
      </c>
      <c r="H46" s="43" t="s">
        <v>36</v>
      </c>
      <c r="I46" s="53" t="s">
        <v>347</v>
      </c>
      <c r="J46" s="41">
        <v>26818.0</v>
      </c>
    </row>
    <row r="47" ht="60.0" customHeight="1">
      <c r="A47" s="39">
        <v>44.0</v>
      </c>
      <c r="B47" s="40" t="s">
        <v>248</v>
      </c>
      <c r="C47" s="40" t="s">
        <v>249</v>
      </c>
      <c r="D47" s="40" t="s">
        <v>250</v>
      </c>
      <c r="E47" s="40" t="s">
        <v>251</v>
      </c>
      <c r="F47" s="39" t="str">
        <f t="shared" si="1"/>
        <v>WRONG</v>
      </c>
      <c r="G47" s="39" t="s">
        <v>36</v>
      </c>
      <c r="H47" s="41" t="s">
        <v>48</v>
      </c>
      <c r="I47" s="53" t="s">
        <v>252</v>
      </c>
      <c r="J47" s="41">
        <v>22520.0</v>
      </c>
    </row>
    <row r="48" ht="60.0" customHeight="1">
      <c r="A48" s="39">
        <v>45.0</v>
      </c>
      <c r="B48" s="40" t="s">
        <v>253</v>
      </c>
      <c r="C48" s="40" t="s">
        <v>254</v>
      </c>
      <c r="D48" s="40" t="s">
        <v>255</v>
      </c>
      <c r="E48" s="40" t="s">
        <v>256</v>
      </c>
      <c r="F48" s="39" t="str">
        <f t="shared" si="1"/>
        <v>CORRECT</v>
      </c>
      <c r="G48" s="39" t="s">
        <v>36</v>
      </c>
      <c r="H48" s="41" t="s">
        <v>36</v>
      </c>
      <c r="I48" s="53" t="s">
        <v>348</v>
      </c>
      <c r="J48" s="41">
        <v>28992.0</v>
      </c>
    </row>
    <row r="49" ht="60.0" customHeight="1">
      <c r="A49" s="39">
        <v>46.0</v>
      </c>
      <c r="B49" s="40" t="s">
        <v>258</v>
      </c>
      <c r="C49" s="40" t="s">
        <v>39</v>
      </c>
      <c r="D49" s="40" t="s">
        <v>259</v>
      </c>
      <c r="E49" s="40" t="s">
        <v>260</v>
      </c>
      <c r="F49" s="39" t="str">
        <f t="shared" si="1"/>
        <v>CORRECT</v>
      </c>
      <c r="G49" s="39" t="s">
        <v>36</v>
      </c>
      <c r="H49" s="41" t="s">
        <v>36</v>
      </c>
      <c r="I49" s="53" t="s">
        <v>349</v>
      </c>
      <c r="J49" s="41">
        <v>26060.0</v>
      </c>
    </row>
    <row r="50">
      <c r="A50" s="44" t="s">
        <v>262</v>
      </c>
      <c r="B50" s="2"/>
      <c r="C50" s="2"/>
      <c r="D50" s="2"/>
      <c r="E50" s="3"/>
      <c r="F50" s="45">
        <f>COUNTIFS(F4:F49,"CORRECT")</f>
        <v>27</v>
      </c>
      <c r="G50" s="46"/>
      <c r="H50" s="46"/>
      <c r="J50" s="47">
        <f>AVERAGE(J4:J49)</f>
        <v>28669.69565</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350</v>
      </c>
      <c r="C2" s="2"/>
      <c r="D2" s="2"/>
      <c r="E2" s="2"/>
      <c r="F2" s="2"/>
      <c r="G2" s="2"/>
      <c r="H2" s="3"/>
      <c r="I2" s="37" t="s">
        <v>351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352</v>
      </c>
      <c r="I4" s="53" t="s">
        <v>353</v>
      </c>
      <c r="J4" s="55">
        <v>31985.0</v>
      </c>
    </row>
    <row r="5" ht="60.0" customHeight="1">
      <c r="A5" s="39">
        <v>2.0</v>
      </c>
      <c r="B5" s="40" t="s">
        <v>38</v>
      </c>
      <c r="C5" s="40" t="s">
        <v>39</v>
      </c>
      <c r="D5" s="40" t="s">
        <v>40</v>
      </c>
      <c r="E5" s="40" t="s">
        <v>41</v>
      </c>
      <c r="F5" s="39" t="str">
        <f t="shared" si="1"/>
        <v>CORRECT</v>
      </c>
      <c r="G5" s="39" t="s">
        <v>42</v>
      </c>
      <c r="H5" s="55" t="s">
        <v>42</v>
      </c>
      <c r="I5" s="53" t="s">
        <v>354</v>
      </c>
      <c r="J5" s="55">
        <v>25017.0</v>
      </c>
    </row>
    <row r="6" ht="60.0" customHeight="1">
      <c r="A6" s="39">
        <v>3.0</v>
      </c>
      <c r="B6" s="40" t="s">
        <v>44</v>
      </c>
      <c r="C6" s="40" t="s">
        <v>45</v>
      </c>
      <c r="D6" s="40" t="s">
        <v>46</v>
      </c>
      <c r="E6" s="40" t="s">
        <v>47</v>
      </c>
      <c r="F6" s="39" t="str">
        <f t="shared" si="1"/>
        <v>CORRECT</v>
      </c>
      <c r="G6" s="39" t="s">
        <v>48</v>
      </c>
      <c r="H6" s="55" t="s">
        <v>48</v>
      </c>
      <c r="I6" s="53" t="s">
        <v>355</v>
      </c>
      <c r="J6" s="55">
        <v>29963.0</v>
      </c>
    </row>
    <row r="7" ht="60.0" customHeight="1">
      <c r="A7" s="39">
        <v>4.0</v>
      </c>
      <c r="B7" s="40" t="s">
        <v>50</v>
      </c>
      <c r="C7" s="40" t="s">
        <v>51</v>
      </c>
      <c r="D7" s="40" t="s">
        <v>52</v>
      </c>
      <c r="E7" s="40" t="s">
        <v>53</v>
      </c>
      <c r="F7" s="39" t="str">
        <f t="shared" si="1"/>
        <v>CORRECT</v>
      </c>
      <c r="G7" s="39" t="s">
        <v>42</v>
      </c>
      <c r="H7" s="55" t="s">
        <v>42</v>
      </c>
      <c r="I7" s="53" t="s">
        <v>356</v>
      </c>
      <c r="J7" s="55">
        <v>26331.0</v>
      </c>
    </row>
    <row r="8" ht="60.0" customHeight="1">
      <c r="A8" s="39">
        <v>5.0</v>
      </c>
      <c r="B8" s="40" t="s">
        <v>55</v>
      </c>
      <c r="C8" s="40" t="s">
        <v>56</v>
      </c>
      <c r="D8" s="40" t="s">
        <v>57</v>
      </c>
      <c r="E8" s="40" t="s">
        <v>58</v>
      </c>
      <c r="F8" s="39" t="str">
        <f t="shared" si="1"/>
        <v>CORRECT</v>
      </c>
      <c r="G8" s="39" t="s">
        <v>48</v>
      </c>
      <c r="H8" s="54" t="s">
        <v>48</v>
      </c>
      <c r="I8" s="53" t="s">
        <v>357</v>
      </c>
      <c r="J8" s="55">
        <v>81580.0</v>
      </c>
    </row>
    <row r="9" ht="60.0" customHeight="1">
      <c r="A9" s="39">
        <v>6.0</v>
      </c>
      <c r="B9" s="40" t="s">
        <v>60</v>
      </c>
      <c r="C9" s="40" t="s">
        <v>61</v>
      </c>
      <c r="D9" s="40" t="s">
        <v>62</v>
      </c>
      <c r="E9" s="40" t="s">
        <v>63</v>
      </c>
      <c r="F9" s="39" t="str">
        <f t="shared" si="1"/>
        <v>CORRECT</v>
      </c>
      <c r="G9" s="39" t="s">
        <v>42</v>
      </c>
      <c r="H9" s="55" t="s">
        <v>42</v>
      </c>
      <c r="I9" s="53" t="s">
        <v>358</v>
      </c>
      <c r="J9" s="55">
        <v>39143.0</v>
      </c>
    </row>
    <row r="10" ht="60.0" customHeight="1">
      <c r="A10" s="39">
        <v>7.0</v>
      </c>
      <c r="B10" s="40" t="s">
        <v>65</v>
      </c>
      <c r="C10" s="40" t="s">
        <v>66</v>
      </c>
      <c r="D10" s="40" t="s">
        <v>67</v>
      </c>
      <c r="E10" s="40" t="s">
        <v>68</v>
      </c>
      <c r="F10" s="39" t="str">
        <f t="shared" si="1"/>
        <v>CORRECT</v>
      </c>
      <c r="G10" s="39" t="s">
        <v>42</v>
      </c>
      <c r="H10" s="54" t="s">
        <v>42</v>
      </c>
      <c r="I10" s="53" t="s">
        <v>359</v>
      </c>
      <c r="J10" s="55">
        <v>25972.0</v>
      </c>
    </row>
    <row r="11" ht="60.0" customHeight="1">
      <c r="A11" s="39">
        <v>8.0</v>
      </c>
      <c r="B11" s="40" t="s">
        <v>70</v>
      </c>
      <c r="C11" s="40" t="s">
        <v>71</v>
      </c>
      <c r="D11" s="40" t="s">
        <v>72</v>
      </c>
      <c r="E11" s="40" t="s">
        <v>73</v>
      </c>
      <c r="F11" s="39" t="str">
        <f t="shared" si="1"/>
        <v>WRONG</v>
      </c>
      <c r="G11" s="39" t="s">
        <v>48</v>
      </c>
      <c r="H11" s="55" t="s">
        <v>42</v>
      </c>
      <c r="I11" s="53" t="s">
        <v>360</v>
      </c>
      <c r="J11" s="55">
        <v>28508.0</v>
      </c>
    </row>
    <row r="12" ht="60.0" customHeight="1">
      <c r="A12" s="39">
        <v>9.0</v>
      </c>
      <c r="B12" s="40" t="s">
        <v>75</v>
      </c>
      <c r="C12" s="40" t="s">
        <v>76</v>
      </c>
      <c r="D12" s="40" t="s">
        <v>77</v>
      </c>
      <c r="E12" s="40" t="s">
        <v>78</v>
      </c>
      <c r="F12" s="39" t="str">
        <f t="shared" si="1"/>
        <v>WRONG</v>
      </c>
      <c r="G12" s="39" t="s">
        <v>42</v>
      </c>
      <c r="H12" s="55" t="s">
        <v>48</v>
      </c>
      <c r="I12" s="53" t="s">
        <v>361</v>
      </c>
      <c r="J12" s="55">
        <v>34799.0</v>
      </c>
    </row>
    <row r="13" ht="60.0" customHeight="1">
      <c r="A13" s="39">
        <v>10.0</v>
      </c>
      <c r="B13" s="40" t="s">
        <v>80</v>
      </c>
      <c r="C13" s="40" t="s">
        <v>81</v>
      </c>
      <c r="D13" s="40" t="s">
        <v>82</v>
      </c>
      <c r="E13" s="40" t="s">
        <v>83</v>
      </c>
      <c r="F13" s="39" t="str">
        <f t="shared" si="1"/>
        <v>CORRECT</v>
      </c>
      <c r="G13" s="39" t="s">
        <v>48</v>
      </c>
      <c r="H13" s="55" t="s">
        <v>48</v>
      </c>
      <c r="I13" s="53" t="s">
        <v>362</v>
      </c>
      <c r="J13" s="55">
        <v>27184.0</v>
      </c>
    </row>
    <row r="14" ht="60.0" customHeight="1">
      <c r="A14" s="39">
        <v>11.0</v>
      </c>
      <c r="B14" s="40" t="s">
        <v>85</v>
      </c>
      <c r="C14" s="40" t="s">
        <v>86</v>
      </c>
      <c r="D14" s="40" t="s">
        <v>87</v>
      </c>
      <c r="E14" s="40" t="s">
        <v>88</v>
      </c>
      <c r="F14" s="39" t="str">
        <f t="shared" si="1"/>
        <v>CORRECT</v>
      </c>
      <c r="G14" s="39" t="s">
        <v>42</v>
      </c>
      <c r="H14" s="55" t="s">
        <v>42</v>
      </c>
      <c r="I14" s="53" t="s">
        <v>363</v>
      </c>
      <c r="J14" s="55">
        <v>54167.0</v>
      </c>
    </row>
    <row r="15" ht="60.0" customHeight="1">
      <c r="A15" s="39">
        <v>12.0</v>
      </c>
      <c r="B15" s="40" t="s">
        <v>90</v>
      </c>
      <c r="C15" s="40" t="s">
        <v>91</v>
      </c>
      <c r="D15" s="40" t="s">
        <v>92</v>
      </c>
      <c r="E15" s="40" t="s">
        <v>93</v>
      </c>
      <c r="F15" s="39" t="str">
        <f t="shared" si="1"/>
        <v>CORRECT</v>
      </c>
      <c r="G15" s="39" t="s">
        <v>48</v>
      </c>
      <c r="H15" s="55" t="s">
        <v>48</v>
      </c>
      <c r="I15" s="53" t="s">
        <v>364</v>
      </c>
      <c r="J15" s="55">
        <v>40458.0</v>
      </c>
    </row>
    <row r="16" ht="60.0" customHeight="1">
      <c r="A16" s="39">
        <v>13.0</v>
      </c>
      <c r="B16" s="40" t="s">
        <v>95</v>
      </c>
      <c r="C16" s="40" t="s">
        <v>96</v>
      </c>
      <c r="D16" s="40" t="s">
        <v>97</v>
      </c>
      <c r="E16" s="40" t="s">
        <v>98</v>
      </c>
      <c r="F16" s="39" t="str">
        <f t="shared" si="1"/>
        <v>CORRECT</v>
      </c>
      <c r="G16" s="39" t="s">
        <v>36</v>
      </c>
      <c r="H16" s="55" t="s">
        <v>36</v>
      </c>
      <c r="I16" s="53" t="s">
        <v>365</v>
      </c>
      <c r="J16" s="55">
        <v>29861.0</v>
      </c>
    </row>
    <row r="17" ht="60.0" customHeight="1">
      <c r="A17" s="39">
        <v>14.0</v>
      </c>
      <c r="B17" s="40" t="s">
        <v>100</v>
      </c>
      <c r="C17" s="40" t="s">
        <v>101</v>
      </c>
      <c r="D17" s="40" t="s">
        <v>102</v>
      </c>
      <c r="E17" s="40" t="s">
        <v>103</v>
      </c>
      <c r="F17" s="39" t="str">
        <f t="shared" si="1"/>
        <v>WRONG</v>
      </c>
      <c r="G17" s="39" t="s">
        <v>36</v>
      </c>
      <c r="H17" s="55" t="s">
        <v>48</v>
      </c>
      <c r="I17" s="53" t="s">
        <v>366</v>
      </c>
      <c r="J17" s="55">
        <v>24316.0</v>
      </c>
    </row>
    <row r="18" ht="60.0" customHeight="1">
      <c r="A18" s="39">
        <v>15.0</v>
      </c>
      <c r="B18" s="40" t="s">
        <v>105</v>
      </c>
      <c r="C18" s="40" t="s">
        <v>106</v>
      </c>
      <c r="D18" s="40" t="s">
        <v>107</v>
      </c>
      <c r="E18" s="40" t="s">
        <v>108</v>
      </c>
      <c r="F18" s="39" t="str">
        <f t="shared" si="1"/>
        <v>CORRECT</v>
      </c>
      <c r="G18" s="39" t="s">
        <v>48</v>
      </c>
      <c r="H18" s="55" t="s">
        <v>48</v>
      </c>
      <c r="I18" s="53" t="s">
        <v>367</v>
      </c>
      <c r="J18" s="55">
        <v>23500.0</v>
      </c>
    </row>
    <row r="19" ht="60.0" customHeight="1">
      <c r="A19" s="39">
        <v>16.0</v>
      </c>
      <c r="B19" s="40" t="s">
        <v>110</v>
      </c>
      <c r="C19" s="40" t="s">
        <v>111</v>
      </c>
      <c r="D19" s="40" t="s">
        <v>112</v>
      </c>
      <c r="E19" s="40" t="s">
        <v>113</v>
      </c>
      <c r="F19" s="39" t="str">
        <f t="shared" si="1"/>
        <v>CORRECT</v>
      </c>
      <c r="G19" s="39" t="s">
        <v>48</v>
      </c>
      <c r="H19" s="54" t="s">
        <v>48</v>
      </c>
      <c r="I19" s="53" t="s">
        <v>368</v>
      </c>
      <c r="J19" s="55">
        <v>36598.0</v>
      </c>
    </row>
    <row r="20" ht="60.0" customHeight="1">
      <c r="A20" s="39">
        <v>17.0</v>
      </c>
      <c r="B20" s="40" t="s">
        <v>115</v>
      </c>
      <c r="C20" s="40" t="s">
        <v>116</v>
      </c>
      <c r="D20" s="40" t="s">
        <v>117</v>
      </c>
      <c r="E20" s="40" t="s">
        <v>118</v>
      </c>
      <c r="F20" s="39" t="str">
        <f t="shared" si="1"/>
        <v>WRONG</v>
      </c>
      <c r="G20" s="39" t="s">
        <v>42</v>
      </c>
      <c r="H20" s="55" t="s">
        <v>36</v>
      </c>
      <c r="I20" s="53" t="s">
        <v>369</v>
      </c>
      <c r="J20" s="55">
        <v>30414.0</v>
      </c>
    </row>
    <row r="21" ht="60.0" customHeight="1">
      <c r="A21" s="39">
        <v>18.0</v>
      </c>
      <c r="B21" s="40" t="s">
        <v>120</v>
      </c>
      <c r="C21" s="40" t="s">
        <v>121</v>
      </c>
      <c r="D21" s="40" t="s">
        <v>122</v>
      </c>
      <c r="E21" s="40" t="s">
        <v>123</v>
      </c>
      <c r="F21" s="39" t="str">
        <f t="shared" si="1"/>
        <v>CORRECT</v>
      </c>
      <c r="G21" s="39" t="s">
        <v>42</v>
      </c>
      <c r="H21" s="55" t="s">
        <v>42</v>
      </c>
      <c r="I21" s="53" t="s">
        <v>370</v>
      </c>
      <c r="J21" s="55">
        <v>33480.0</v>
      </c>
    </row>
    <row r="22" ht="60.0" customHeight="1">
      <c r="A22" s="39">
        <v>19.0</v>
      </c>
      <c r="B22" s="40" t="s">
        <v>125</v>
      </c>
      <c r="C22" s="40" t="s">
        <v>126</v>
      </c>
      <c r="D22" s="40" t="s">
        <v>127</v>
      </c>
      <c r="E22" s="40" t="s">
        <v>128</v>
      </c>
      <c r="F22" s="39" t="str">
        <f t="shared" si="1"/>
        <v>WRONG</v>
      </c>
      <c r="G22" s="39" t="s">
        <v>36</v>
      </c>
      <c r="H22" s="54" t="s">
        <v>48</v>
      </c>
      <c r="I22" s="53" t="s">
        <v>371</v>
      </c>
      <c r="J22" s="55">
        <v>28569.0</v>
      </c>
    </row>
    <row r="23" ht="60.0" customHeight="1">
      <c r="A23" s="39">
        <v>20.0</v>
      </c>
      <c r="B23" s="40" t="s">
        <v>130</v>
      </c>
      <c r="C23" s="40" t="s">
        <v>131</v>
      </c>
      <c r="D23" s="40" t="s">
        <v>132</v>
      </c>
      <c r="E23" s="40" t="s">
        <v>133</v>
      </c>
      <c r="F23" s="39" t="str">
        <f t="shared" si="1"/>
        <v>WRONG</v>
      </c>
      <c r="G23" s="39" t="s">
        <v>42</v>
      </c>
      <c r="H23" s="54" t="s">
        <v>36</v>
      </c>
      <c r="I23" s="53" t="s">
        <v>372</v>
      </c>
      <c r="J23" s="55">
        <v>18938.0</v>
      </c>
    </row>
    <row r="24" ht="60.0" customHeight="1">
      <c r="A24" s="39">
        <v>21.0</v>
      </c>
      <c r="B24" s="40" t="s">
        <v>135</v>
      </c>
      <c r="C24" s="40" t="s">
        <v>136</v>
      </c>
      <c r="D24" s="40" t="s">
        <v>137</v>
      </c>
      <c r="E24" s="40" t="s">
        <v>138</v>
      </c>
      <c r="F24" s="39" t="str">
        <f t="shared" si="1"/>
        <v>WRONG</v>
      </c>
      <c r="G24" s="39" t="s">
        <v>42</v>
      </c>
      <c r="H24" s="55" t="s">
        <v>36</v>
      </c>
      <c r="I24" s="53" t="s">
        <v>373</v>
      </c>
      <c r="J24" s="55">
        <v>20177.0</v>
      </c>
    </row>
    <row r="25" ht="60.0" customHeight="1">
      <c r="A25" s="39">
        <v>22.0</v>
      </c>
      <c r="B25" s="40" t="s">
        <v>140</v>
      </c>
      <c r="C25" s="40" t="s">
        <v>141</v>
      </c>
      <c r="D25" s="40" t="s">
        <v>142</v>
      </c>
      <c r="E25" s="40" t="s">
        <v>143</v>
      </c>
      <c r="F25" s="39" t="str">
        <f t="shared" si="1"/>
        <v>CORRECT</v>
      </c>
      <c r="G25" s="39" t="s">
        <v>42</v>
      </c>
      <c r="H25" s="55" t="s">
        <v>42</v>
      </c>
      <c r="I25" s="53" t="s">
        <v>374</v>
      </c>
      <c r="J25" s="55">
        <v>15470.0</v>
      </c>
    </row>
    <row r="26" ht="60.0" customHeight="1">
      <c r="A26" s="39">
        <v>23.0</v>
      </c>
      <c r="B26" s="40" t="s">
        <v>145</v>
      </c>
      <c r="C26" s="40" t="s">
        <v>146</v>
      </c>
      <c r="D26" s="40" t="s">
        <v>147</v>
      </c>
      <c r="E26" s="40" t="s">
        <v>148</v>
      </c>
      <c r="F26" s="39" t="str">
        <f t="shared" si="1"/>
        <v>CORRECT</v>
      </c>
      <c r="G26" s="39" t="s">
        <v>48</v>
      </c>
      <c r="H26" s="54" t="s">
        <v>48</v>
      </c>
      <c r="I26" s="53" t="s">
        <v>375</v>
      </c>
      <c r="J26" s="55">
        <v>25155.0</v>
      </c>
    </row>
    <row r="27" ht="60.0" customHeight="1">
      <c r="A27" s="39">
        <v>24.0</v>
      </c>
      <c r="B27" s="40" t="s">
        <v>150</v>
      </c>
      <c r="C27" s="40" t="s">
        <v>151</v>
      </c>
      <c r="D27" s="40" t="s">
        <v>152</v>
      </c>
      <c r="E27" s="40" t="s">
        <v>153</v>
      </c>
      <c r="F27" s="39" t="str">
        <f t="shared" si="1"/>
        <v>CORRECT</v>
      </c>
      <c r="G27" s="39" t="s">
        <v>36</v>
      </c>
      <c r="H27" s="54" t="s">
        <v>36</v>
      </c>
      <c r="I27" s="53" t="s">
        <v>376</v>
      </c>
      <c r="J27" s="55">
        <v>22049.0</v>
      </c>
    </row>
    <row r="28" ht="60.0" customHeight="1">
      <c r="A28" s="39">
        <v>25.0</v>
      </c>
      <c r="B28" s="40" t="s">
        <v>155</v>
      </c>
      <c r="C28" s="40" t="s">
        <v>151</v>
      </c>
      <c r="D28" s="40" t="s">
        <v>156</v>
      </c>
      <c r="E28" s="40" t="s">
        <v>153</v>
      </c>
      <c r="F28" s="39" t="str">
        <f t="shared" si="1"/>
        <v>CORRECT</v>
      </c>
      <c r="G28" s="39" t="s">
        <v>48</v>
      </c>
      <c r="H28" s="55" t="s">
        <v>48</v>
      </c>
      <c r="I28" s="53" t="s">
        <v>377</v>
      </c>
      <c r="J28" s="55">
        <v>19718.0</v>
      </c>
    </row>
    <row r="29" ht="60.0" customHeight="1">
      <c r="A29" s="39">
        <v>26.0</v>
      </c>
      <c r="B29" s="40" t="s">
        <v>158</v>
      </c>
      <c r="C29" s="40" t="s">
        <v>159</v>
      </c>
      <c r="D29" s="40" t="s">
        <v>160</v>
      </c>
      <c r="E29" s="40" t="s">
        <v>161</v>
      </c>
      <c r="F29" s="39" t="str">
        <f t="shared" si="1"/>
        <v>WRONG</v>
      </c>
      <c r="G29" s="39" t="s">
        <v>36</v>
      </c>
      <c r="H29" s="54" t="s">
        <v>48</v>
      </c>
      <c r="I29" s="53" t="s">
        <v>378</v>
      </c>
      <c r="J29" s="55">
        <v>21759.0</v>
      </c>
    </row>
    <row r="30" ht="60.0" customHeight="1">
      <c r="A30" s="39">
        <v>27.0</v>
      </c>
      <c r="B30" s="40" t="s">
        <v>163</v>
      </c>
      <c r="C30" s="40" t="s">
        <v>164</v>
      </c>
      <c r="D30" s="40" t="s">
        <v>165</v>
      </c>
      <c r="E30" s="40" t="s">
        <v>166</v>
      </c>
      <c r="F30" s="39" t="str">
        <f t="shared" si="1"/>
        <v>CORRECT</v>
      </c>
      <c r="G30" s="39" t="s">
        <v>42</v>
      </c>
      <c r="H30" s="55" t="s">
        <v>42</v>
      </c>
      <c r="I30" s="53" t="s">
        <v>379</v>
      </c>
      <c r="J30" s="55">
        <v>17042.0</v>
      </c>
    </row>
    <row r="31" ht="60.0" customHeight="1">
      <c r="A31" s="39">
        <v>28.0</v>
      </c>
      <c r="B31" s="40" t="s">
        <v>168</v>
      </c>
      <c r="C31" s="40" t="s">
        <v>169</v>
      </c>
      <c r="D31" s="40" t="s">
        <v>170</v>
      </c>
      <c r="E31" s="40" t="s">
        <v>171</v>
      </c>
      <c r="F31" s="39" t="str">
        <f t="shared" si="1"/>
        <v>CORRECT</v>
      </c>
      <c r="G31" s="39" t="s">
        <v>36</v>
      </c>
      <c r="H31" s="55" t="s">
        <v>36</v>
      </c>
      <c r="I31" s="53" t="s">
        <v>380</v>
      </c>
      <c r="J31" s="55">
        <v>26891.0</v>
      </c>
    </row>
    <row r="32" ht="60.0" customHeight="1">
      <c r="A32" s="39">
        <v>29.0</v>
      </c>
      <c r="B32" s="40" t="s">
        <v>173</v>
      </c>
      <c r="C32" s="40" t="s">
        <v>174</v>
      </c>
      <c r="D32" s="40" t="s">
        <v>175</v>
      </c>
      <c r="E32" s="40" t="s">
        <v>176</v>
      </c>
      <c r="F32" s="39" t="str">
        <f t="shared" si="1"/>
        <v>WRONG</v>
      </c>
      <c r="G32" s="39" t="s">
        <v>42</v>
      </c>
      <c r="H32" s="55" t="s">
        <v>36</v>
      </c>
      <c r="I32" s="53" t="s">
        <v>381</v>
      </c>
      <c r="J32" s="55">
        <v>24417.0</v>
      </c>
    </row>
    <row r="33" ht="60.0" customHeight="1">
      <c r="A33" s="39">
        <v>30.0</v>
      </c>
      <c r="B33" s="40" t="s">
        <v>178</v>
      </c>
      <c r="C33" s="40" t="s">
        <v>179</v>
      </c>
      <c r="D33" s="40" t="s">
        <v>180</v>
      </c>
      <c r="E33" s="40" t="s">
        <v>181</v>
      </c>
      <c r="F33" s="39" t="str">
        <f t="shared" si="1"/>
        <v>WRONG</v>
      </c>
      <c r="G33" s="39" t="s">
        <v>48</v>
      </c>
      <c r="H33" s="55" t="s">
        <v>36</v>
      </c>
      <c r="I33" s="53" t="s">
        <v>382</v>
      </c>
      <c r="J33" s="55">
        <v>35486.0</v>
      </c>
    </row>
    <row r="34" ht="60.0" customHeight="1">
      <c r="A34" s="39">
        <v>31.0</v>
      </c>
      <c r="B34" s="40" t="s">
        <v>183</v>
      </c>
      <c r="C34" s="40" t="s">
        <v>184</v>
      </c>
      <c r="D34" s="40" t="s">
        <v>185</v>
      </c>
      <c r="E34" s="40" t="s">
        <v>186</v>
      </c>
      <c r="F34" s="39" t="str">
        <f t="shared" si="1"/>
        <v>WRONG</v>
      </c>
      <c r="G34" s="39" t="s">
        <v>42</v>
      </c>
      <c r="H34" s="55" t="s">
        <v>36</v>
      </c>
      <c r="I34" s="53" t="s">
        <v>383</v>
      </c>
      <c r="J34" s="55">
        <v>27790.0</v>
      </c>
    </row>
    <row r="35" ht="60.0" customHeight="1">
      <c r="A35" s="39">
        <v>32.0</v>
      </c>
      <c r="B35" s="40" t="s">
        <v>188</v>
      </c>
      <c r="C35" s="40" t="s">
        <v>189</v>
      </c>
      <c r="D35" s="40" t="s">
        <v>190</v>
      </c>
      <c r="E35" s="40" t="s">
        <v>191</v>
      </c>
      <c r="F35" s="39" t="str">
        <f t="shared" si="1"/>
        <v>CORRECT</v>
      </c>
      <c r="G35" s="39" t="s">
        <v>36</v>
      </c>
      <c r="H35" s="55" t="s">
        <v>36</v>
      </c>
      <c r="I35" s="53" t="s">
        <v>384</v>
      </c>
      <c r="J35" s="55">
        <v>41684.0</v>
      </c>
    </row>
    <row r="36" ht="60.0" customHeight="1">
      <c r="A36" s="39">
        <v>33.0</v>
      </c>
      <c r="B36" s="40" t="s">
        <v>193</v>
      </c>
      <c r="C36" s="40" t="s">
        <v>194</v>
      </c>
      <c r="D36" s="40" t="s">
        <v>195</v>
      </c>
      <c r="E36" s="40" t="s">
        <v>196</v>
      </c>
      <c r="F36" s="39" t="str">
        <f t="shared" si="1"/>
        <v>CORRECT</v>
      </c>
      <c r="G36" s="39" t="s">
        <v>48</v>
      </c>
      <c r="H36" s="54" t="s">
        <v>48</v>
      </c>
      <c r="I36" s="53" t="s">
        <v>385</v>
      </c>
      <c r="J36" s="55">
        <v>37180.0</v>
      </c>
    </row>
    <row r="37" ht="60.0" customHeight="1">
      <c r="A37" s="39">
        <v>34.0</v>
      </c>
      <c r="B37" s="40" t="s">
        <v>198</v>
      </c>
      <c r="C37" s="40" t="s">
        <v>199</v>
      </c>
      <c r="D37" s="40" t="s">
        <v>200</v>
      </c>
      <c r="E37" s="40" t="s">
        <v>201</v>
      </c>
      <c r="F37" s="39" t="str">
        <f t="shared" si="1"/>
        <v>CORRECT</v>
      </c>
      <c r="G37" s="39" t="s">
        <v>36</v>
      </c>
      <c r="H37" s="55" t="s">
        <v>36</v>
      </c>
      <c r="I37" s="53" t="s">
        <v>386</v>
      </c>
      <c r="J37" s="55">
        <v>17363.0</v>
      </c>
    </row>
    <row r="38" ht="60.0" customHeight="1">
      <c r="A38" s="39">
        <v>35.0</v>
      </c>
      <c r="B38" s="40" t="s">
        <v>203</v>
      </c>
      <c r="C38" s="40" t="s">
        <v>204</v>
      </c>
      <c r="D38" s="40" t="s">
        <v>205</v>
      </c>
      <c r="E38" s="40" t="s">
        <v>206</v>
      </c>
      <c r="F38" s="39" t="str">
        <f t="shared" si="1"/>
        <v>WRONG</v>
      </c>
      <c r="G38" s="39" t="s">
        <v>48</v>
      </c>
      <c r="H38" s="54" t="s">
        <v>36</v>
      </c>
      <c r="I38" s="53" t="s">
        <v>387</v>
      </c>
      <c r="J38" s="55">
        <v>34089.0</v>
      </c>
    </row>
    <row r="39" ht="60.0" customHeight="1">
      <c r="A39" s="39">
        <v>36.0</v>
      </c>
      <c r="B39" s="40" t="s">
        <v>208</v>
      </c>
      <c r="C39" s="40" t="s">
        <v>209</v>
      </c>
      <c r="D39" s="40" t="s">
        <v>210</v>
      </c>
      <c r="E39" s="40" t="s">
        <v>211</v>
      </c>
      <c r="F39" s="39" t="str">
        <f t="shared" si="1"/>
        <v>CORRECT</v>
      </c>
      <c r="G39" s="39" t="s">
        <v>36</v>
      </c>
      <c r="H39" s="55" t="s">
        <v>36</v>
      </c>
      <c r="I39" s="53" t="s">
        <v>388</v>
      </c>
      <c r="J39" s="55">
        <v>19688.0</v>
      </c>
    </row>
    <row r="40" ht="60.0" customHeight="1">
      <c r="A40" s="39">
        <v>37.0</v>
      </c>
      <c r="B40" s="40" t="s">
        <v>213</v>
      </c>
      <c r="C40" s="40" t="s">
        <v>214</v>
      </c>
      <c r="D40" s="40" t="s">
        <v>215</v>
      </c>
      <c r="E40" s="40" t="s">
        <v>216</v>
      </c>
      <c r="F40" s="39" t="str">
        <f t="shared" si="1"/>
        <v>WRONG</v>
      </c>
      <c r="G40" s="39" t="s">
        <v>36</v>
      </c>
      <c r="H40" s="55" t="s">
        <v>42</v>
      </c>
      <c r="I40" s="53" t="s">
        <v>389</v>
      </c>
      <c r="J40" s="55">
        <v>22948.0</v>
      </c>
    </row>
    <row r="41" ht="60.0" customHeight="1">
      <c r="A41" s="39">
        <v>38.0</v>
      </c>
      <c r="B41" s="40" t="s">
        <v>218</v>
      </c>
      <c r="C41" s="40" t="s">
        <v>219</v>
      </c>
      <c r="D41" s="40" t="s">
        <v>220</v>
      </c>
      <c r="E41" s="40" t="s">
        <v>221</v>
      </c>
      <c r="F41" s="39" t="str">
        <f t="shared" si="1"/>
        <v>CORRECT</v>
      </c>
      <c r="G41" s="39" t="s">
        <v>36</v>
      </c>
      <c r="H41" s="55" t="s">
        <v>36</v>
      </c>
      <c r="I41" s="53" t="s">
        <v>390</v>
      </c>
      <c r="J41" s="55">
        <v>25902.0</v>
      </c>
    </row>
    <row r="42" ht="60.0" customHeight="1">
      <c r="A42" s="39">
        <v>39.0</v>
      </c>
      <c r="B42" s="40" t="s">
        <v>223</v>
      </c>
      <c r="C42" s="40" t="s">
        <v>224</v>
      </c>
      <c r="D42" s="40" t="s">
        <v>225</v>
      </c>
      <c r="E42" s="40" t="s">
        <v>226</v>
      </c>
      <c r="F42" s="39" t="str">
        <f t="shared" si="1"/>
        <v>WRONG</v>
      </c>
      <c r="G42" s="39" t="s">
        <v>42</v>
      </c>
      <c r="H42" s="55" t="s">
        <v>36</v>
      </c>
      <c r="I42" s="53" t="s">
        <v>391</v>
      </c>
      <c r="J42" s="55">
        <v>20511.0</v>
      </c>
    </row>
    <row r="43" ht="60.0" customHeight="1">
      <c r="A43" s="39">
        <v>40.0</v>
      </c>
      <c r="B43" s="40" t="s">
        <v>228</v>
      </c>
      <c r="C43" s="40" t="s">
        <v>229</v>
      </c>
      <c r="D43" s="40" t="s">
        <v>230</v>
      </c>
      <c r="E43" s="40" t="s">
        <v>231</v>
      </c>
      <c r="F43" s="39" t="str">
        <f t="shared" si="1"/>
        <v>CORRECT</v>
      </c>
      <c r="G43" s="39" t="s">
        <v>48</v>
      </c>
      <c r="H43" s="54" t="s">
        <v>48</v>
      </c>
      <c r="I43" s="53" t="s">
        <v>392</v>
      </c>
      <c r="J43" s="55">
        <v>27218.0</v>
      </c>
    </row>
    <row r="44" ht="60.0" customHeight="1">
      <c r="A44" s="39">
        <v>41.0</v>
      </c>
      <c r="B44" s="40" t="s">
        <v>233</v>
      </c>
      <c r="C44" s="40" t="s">
        <v>234</v>
      </c>
      <c r="D44" s="40" t="s">
        <v>235</v>
      </c>
      <c r="E44" s="40" t="s">
        <v>236</v>
      </c>
      <c r="F44" s="39" t="str">
        <f t="shared" si="1"/>
        <v>CORRECT</v>
      </c>
      <c r="G44" s="39" t="s">
        <v>42</v>
      </c>
      <c r="H44" s="55" t="s">
        <v>42</v>
      </c>
      <c r="I44" s="53" t="s">
        <v>277</v>
      </c>
      <c r="J44" s="55">
        <v>16233.0</v>
      </c>
    </row>
    <row r="45" ht="60.0" customHeight="1">
      <c r="A45" s="39">
        <v>42.0</v>
      </c>
      <c r="B45" s="40" t="s">
        <v>238</v>
      </c>
      <c r="C45" s="40" t="s">
        <v>239</v>
      </c>
      <c r="D45" s="40" t="s">
        <v>240</v>
      </c>
      <c r="E45" s="40" t="s">
        <v>241</v>
      </c>
      <c r="F45" s="39" t="str">
        <f t="shared" si="1"/>
        <v>WRONG</v>
      </c>
      <c r="G45" s="39" t="s">
        <v>36</v>
      </c>
      <c r="H45" s="55" t="s">
        <v>42</v>
      </c>
      <c r="I45" s="53" t="s">
        <v>393</v>
      </c>
      <c r="J45" s="55">
        <v>35120.0</v>
      </c>
    </row>
    <row r="46" ht="60.0" customHeight="1">
      <c r="A46" s="39">
        <v>43.0</v>
      </c>
      <c r="B46" s="40" t="s">
        <v>243</v>
      </c>
      <c r="C46" s="40" t="s">
        <v>244</v>
      </c>
      <c r="D46" s="40" t="s">
        <v>245</v>
      </c>
      <c r="E46" s="40" t="s">
        <v>246</v>
      </c>
      <c r="F46" s="39" t="str">
        <f t="shared" si="1"/>
        <v>WRONG</v>
      </c>
      <c r="G46" s="39" t="s">
        <v>48</v>
      </c>
      <c r="H46" s="54" t="s">
        <v>42</v>
      </c>
      <c r="I46" s="53" t="s">
        <v>394</v>
      </c>
      <c r="J46" s="55">
        <v>24572.0</v>
      </c>
    </row>
    <row r="47" ht="60.0" customHeight="1">
      <c r="A47" s="39">
        <v>44.0</v>
      </c>
      <c r="B47" s="40" t="s">
        <v>248</v>
      </c>
      <c r="C47" s="40" t="s">
        <v>249</v>
      </c>
      <c r="D47" s="40" t="s">
        <v>250</v>
      </c>
      <c r="E47" s="40" t="s">
        <v>251</v>
      </c>
      <c r="F47" s="39" t="str">
        <f t="shared" si="1"/>
        <v>WRONG</v>
      </c>
      <c r="G47" s="39" t="s">
        <v>36</v>
      </c>
      <c r="H47" s="55" t="s">
        <v>48</v>
      </c>
      <c r="I47" s="53" t="s">
        <v>395</v>
      </c>
      <c r="J47" s="55">
        <v>29908.0</v>
      </c>
    </row>
    <row r="48" ht="60.0" customHeight="1">
      <c r="A48" s="39">
        <v>45.0</v>
      </c>
      <c r="B48" s="40" t="s">
        <v>253</v>
      </c>
      <c r="C48" s="40" t="s">
        <v>254</v>
      </c>
      <c r="D48" s="40" t="s">
        <v>255</v>
      </c>
      <c r="E48" s="40" t="s">
        <v>256</v>
      </c>
      <c r="F48" s="39" t="str">
        <f t="shared" si="1"/>
        <v>CORRECT</v>
      </c>
      <c r="G48" s="39" t="s">
        <v>36</v>
      </c>
      <c r="H48" s="55" t="s">
        <v>36</v>
      </c>
      <c r="I48" s="53" t="s">
        <v>396</v>
      </c>
      <c r="J48" s="55">
        <v>25499.0</v>
      </c>
    </row>
    <row r="49" ht="60.0" customHeight="1">
      <c r="A49" s="39">
        <v>46.0</v>
      </c>
      <c r="B49" s="40" t="s">
        <v>258</v>
      </c>
      <c r="C49" s="40" t="s">
        <v>39</v>
      </c>
      <c r="D49" s="40" t="s">
        <v>259</v>
      </c>
      <c r="E49" s="40" t="s">
        <v>260</v>
      </c>
      <c r="F49" s="39" t="str">
        <f t="shared" si="1"/>
        <v>CORRECT</v>
      </c>
      <c r="G49" s="39" t="s">
        <v>36</v>
      </c>
      <c r="H49" s="55" t="s">
        <v>36</v>
      </c>
      <c r="I49" s="53" t="s">
        <v>397</v>
      </c>
      <c r="J49" s="55">
        <v>24061.0</v>
      </c>
    </row>
    <row r="50">
      <c r="A50" s="44" t="s">
        <v>262</v>
      </c>
      <c r="B50" s="2"/>
      <c r="C50" s="2"/>
      <c r="D50" s="2"/>
      <c r="E50" s="3"/>
      <c r="F50" s="45">
        <f>COUNTIFS(F4:F49,"CORRECT")</f>
        <v>28</v>
      </c>
      <c r="G50" s="46"/>
      <c r="H50" s="46"/>
      <c r="J50" s="47">
        <f>AVERAGE(J4:J49)</f>
        <v>28885.06522</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398</v>
      </c>
      <c r="C2" s="2"/>
      <c r="D2" s="2"/>
      <c r="E2" s="2"/>
      <c r="F2" s="2"/>
      <c r="G2" s="2"/>
      <c r="H2" s="3"/>
      <c r="I2" s="37" t="s">
        <v>399</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37</v>
      </c>
      <c r="J4" s="55">
        <v>33925.0</v>
      </c>
    </row>
    <row r="5" ht="60.0" customHeight="1">
      <c r="A5" s="39">
        <v>2.0</v>
      </c>
      <c r="B5" s="40" t="s">
        <v>38</v>
      </c>
      <c r="C5" s="40" t="s">
        <v>39</v>
      </c>
      <c r="D5" s="40" t="s">
        <v>40</v>
      </c>
      <c r="E5" s="40" t="s">
        <v>41</v>
      </c>
      <c r="F5" s="39" t="str">
        <f t="shared" si="1"/>
        <v>CORRECT</v>
      </c>
      <c r="G5" s="39" t="s">
        <v>42</v>
      </c>
      <c r="H5" s="54" t="s">
        <v>42</v>
      </c>
      <c r="I5" s="53" t="s">
        <v>267</v>
      </c>
      <c r="J5" s="55">
        <v>32338.0</v>
      </c>
    </row>
    <row r="6" ht="60.0" customHeight="1">
      <c r="A6" s="39">
        <v>3.0</v>
      </c>
      <c r="B6" s="40" t="s">
        <v>44</v>
      </c>
      <c r="C6" s="40" t="s">
        <v>45</v>
      </c>
      <c r="D6" s="40" t="s">
        <v>46</v>
      </c>
      <c r="E6" s="40" t="s">
        <v>47</v>
      </c>
      <c r="F6" s="39" t="str">
        <f t="shared" si="1"/>
        <v>CORRECT</v>
      </c>
      <c r="G6" s="39" t="s">
        <v>48</v>
      </c>
      <c r="H6" s="55" t="s">
        <v>48</v>
      </c>
      <c r="I6" s="53" t="s">
        <v>49</v>
      </c>
      <c r="J6" s="55">
        <v>29573.0</v>
      </c>
    </row>
    <row r="7" ht="60.0" customHeight="1">
      <c r="A7" s="39">
        <v>4.0</v>
      </c>
      <c r="B7" s="40" t="s">
        <v>50</v>
      </c>
      <c r="C7" s="40" t="s">
        <v>51</v>
      </c>
      <c r="D7" s="40" t="s">
        <v>52</v>
      </c>
      <c r="E7" s="40" t="s">
        <v>53</v>
      </c>
      <c r="F7" s="39" t="str">
        <f t="shared" si="1"/>
        <v>CORRECT</v>
      </c>
      <c r="G7" s="39" t="s">
        <v>42</v>
      </c>
      <c r="H7" s="55" t="s">
        <v>42</v>
      </c>
      <c r="I7" s="53" t="s">
        <v>54</v>
      </c>
      <c r="J7" s="55">
        <v>19433.0</v>
      </c>
    </row>
    <row r="8" ht="60.0" customHeight="1">
      <c r="A8" s="39">
        <v>5.0</v>
      </c>
      <c r="B8" s="40" t="s">
        <v>55</v>
      </c>
      <c r="C8" s="40" t="s">
        <v>56</v>
      </c>
      <c r="D8" s="40" t="s">
        <v>57</v>
      </c>
      <c r="E8" s="40" t="s">
        <v>58</v>
      </c>
      <c r="F8" s="39" t="str">
        <f t="shared" si="1"/>
        <v>CORRECT</v>
      </c>
      <c r="G8" s="39" t="s">
        <v>48</v>
      </c>
      <c r="H8" s="54" t="s">
        <v>48</v>
      </c>
      <c r="I8" s="53" t="s">
        <v>59</v>
      </c>
      <c r="J8" s="55">
        <v>49255.0</v>
      </c>
    </row>
    <row r="9" ht="60.0" customHeight="1">
      <c r="A9" s="39">
        <v>6.0</v>
      </c>
      <c r="B9" s="40" t="s">
        <v>60</v>
      </c>
      <c r="C9" s="40" t="s">
        <v>61</v>
      </c>
      <c r="D9" s="40" t="s">
        <v>62</v>
      </c>
      <c r="E9" s="40" t="s">
        <v>63</v>
      </c>
      <c r="F9" s="39" t="str">
        <f t="shared" si="1"/>
        <v>CORRECT</v>
      </c>
      <c r="G9" s="39" t="s">
        <v>42</v>
      </c>
      <c r="H9" s="55" t="s">
        <v>42</v>
      </c>
      <c r="I9" s="53" t="s">
        <v>64</v>
      </c>
      <c r="J9" s="55">
        <v>21375.0</v>
      </c>
    </row>
    <row r="10" ht="60.0" customHeight="1">
      <c r="A10" s="39">
        <v>7.0</v>
      </c>
      <c r="B10" s="40" t="s">
        <v>65</v>
      </c>
      <c r="C10" s="40" t="s">
        <v>66</v>
      </c>
      <c r="D10" s="40" t="s">
        <v>67</v>
      </c>
      <c r="E10" s="40" t="s">
        <v>68</v>
      </c>
      <c r="F10" s="39" t="str">
        <f t="shared" si="1"/>
        <v>WRONG</v>
      </c>
      <c r="G10" s="39" t="s">
        <v>42</v>
      </c>
      <c r="H10" s="55" t="s">
        <v>36</v>
      </c>
      <c r="I10" s="53" t="s">
        <v>268</v>
      </c>
      <c r="J10" s="55">
        <v>30185.0</v>
      </c>
    </row>
    <row r="11" ht="60.0" customHeight="1">
      <c r="A11" s="39">
        <v>8.0</v>
      </c>
      <c r="B11" s="40" t="s">
        <v>70</v>
      </c>
      <c r="C11" s="40" t="s">
        <v>71</v>
      </c>
      <c r="D11" s="40" t="s">
        <v>72</v>
      </c>
      <c r="E11" s="40" t="s">
        <v>73</v>
      </c>
      <c r="F11" s="39" t="str">
        <f t="shared" si="1"/>
        <v>WRONG</v>
      </c>
      <c r="G11" s="39" t="s">
        <v>48</v>
      </c>
      <c r="H11" s="55" t="s">
        <v>42</v>
      </c>
      <c r="I11" s="53" t="s">
        <v>74</v>
      </c>
      <c r="J11" s="55">
        <v>28056.0</v>
      </c>
    </row>
    <row r="12" ht="60.0" customHeight="1">
      <c r="A12" s="39">
        <v>9.0</v>
      </c>
      <c r="B12" s="40" t="s">
        <v>75</v>
      </c>
      <c r="C12" s="40" t="s">
        <v>76</v>
      </c>
      <c r="D12" s="40" t="s">
        <v>77</v>
      </c>
      <c r="E12" s="40" t="s">
        <v>78</v>
      </c>
      <c r="F12" s="39" t="str">
        <f t="shared" si="1"/>
        <v>WRONG</v>
      </c>
      <c r="G12" s="39" t="s">
        <v>42</v>
      </c>
      <c r="H12" s="54" t="s">
        <v>48</v>
      </c>
      <c r="I12" s="53" t="s">
        <v>269</v>
      </c>
      <c r="J12" s="55">
        <v>27308.0</v>
      </c>
    </row>
    <row r="13" ht="60.0" customHeight="1">
      <c r="A13" s="39">
        <v>10.0</v>
      </c>
      <c r="B13" s="40" t="s">
        <v>80</v>
      </c>
      <c r="C13" s="40" t="s">
        <v>81</v>
      </c>
      <c r="D13" s="40" t="s">
        <v>82</v>
      </c>
      <c r="E13" s="40" t="s">
        <v>83</v>
      </c>
      <c r="F13" s="39" t="str">
        <f t="shared" si="1"/>
        <v>CORRECT</v>
      </c>
      <c r="G13" s="39" t="s">
        <v>48</v>
      </c>
      <c r="H13" s="55" t="s">
        <v>48</v>
      </c>
      <c r="I13" s="53" t="s">
        <v>400</v>
      </c>
      <c r="J13" s="55">
        <v>28153.0</v>
      </c>
    </row>
    <row r="14" ht="60.0" customHeight="1">
      <c r="A14" s="39">
        <v>11.0</v>
      </c>
      <c r="B14" s="40" t="s">
        <v>85</v>
      </c>
      <c r="C14" s="40" t="s">
        <v>86</v>
      </c>
      <c r="D14" s="40" t="s">
        <v>87</v>
      </c>
      <c r="E14" s="40" t="s">
        <v>88</v>
      </c>
      <c r="F14" s="39" t="str">
        <f t="shared" si="1"/>
        <v>CORRECT</v>
      </c>
      <c r="G14" s="39" t="s">
        <v>42</v>
      </c>
      <c r="H14" s="54" t="s">
        <v>42</v>
      </c>
      <c r="I14" s="53" t="s">
        <v>271</v>
      </c>
      <c r="J14" s="55">
        <v>31832.0</v>
      </c>
    </row>
    <row r="15" ht="60.0" customHeight="1">
      <c r="A15" s="39">
        <v>12.0</v>
      </c>
      <c r="B15" s="40" t="s">
        <v>90</v>
      </c>
      <c r="C15" s="40" t="s">
        <v>91</v>
      </c>
      <c r="D15" s="40" t="s">
        <v>92</v>
      </c>
      <c r="E15" s="40" t="s">
        <v>93</v>
      </c>
      <c r="F15" s="39" t="str">
        <f t="shared" si="1"/>
        <v>CORRECT</v>
      </c>
      <c r="G15" s="39" t="s">
        <v>48</v>
      </c>
      <c r="H15" s="54" t="s">
        <v>48</v>
      </c>
      <c r="I15" s="53" t="s">
        <v>272</v>
      </c>
      <c r="J15" s="55">
        <v>34239.0</v>
      </c>
    </row>
    <row r="16" ht="60.0" customHeight="1">
      <c r="A16" s="39">
        <v>13.0</v>
      </c>
      <c r="B16" s="40" t="s">
        <v>95</v>
      </c>
      <c r="C16" s="40" t="s">
        <v>96</v>
      </c>
      <c r="D16" s="40" t="s">
        <v>97</v>
      </c>
      <c r="E16" s="40" t="s">
        <v>98</v>
      </c>
      <c r="F16" s="39" t="str">
        <f t="shared" si="1"/>
        <v>CORRECT</v>
      </c>
      <c r="G16" s="39" t="s">
        <v>36</v>
      </c>
      <c r="H16" s="55" t="s">
        <v>36</v>
      </c>
      <c r="I16" s="53" t="s">
        <v>99</v>
      </c>
      <c r="J16" s="55">
        <v>23548.0</v>
      </c>
    </row>
    <row r="17" ht="60.0" customHeight="1">
      <c r="A17" s="39">
        <v>14.0</v>
      </c>
      <c r="B17" s="40" t="s">
        <v>100</v>
      </c>
      <c r="C17" s="40" t="s">
        <v>101</v>
      </c>
      <c r="D17" s="40" t="s">
        <v>102</v>
      </c>
      <c r="E17" s="40" t="s">
        <v>103</v>
      </c>
      <c r="F17" s="39" t="str">
        <f t="shared" si="1"/>
        <v>WRONG</v>
      </c>
      <c r="G17" s="39" t="s">
        <v>36</v>
      </c>
      <c r="H17" s="55" t="s">
        <v>48</v>
      </c>
      <c r="I17" s="53" t="s">
        <v>104</v>
      </c>
      <c r="J17" s="55">
        <v>27876.0</v>
      </c>
    </row>
    <row r="18" ht="60.0" customHeight="1">
      <c r="A18" s="39">
        <v>15.0</v>
      </c>
      <c r="B18" s="40" t="s">
        <v>105</v>
      </c>
      <c r="C18" s="40" t="s">
        <v>106</v>
      </c>
      <c r="D18" s="40" t="s">
        <v>107</v>
      </c>
      <c r="E18" s="40" t="s">
        <v>108</v>
      </c>
      <c r="F18" s="39" t="str">
        <f t="shared" si="1"/>
        <v>CORRECT</v>
      </c>
      <c r="G18" s="39" t="s">
        <v>48</v>
      </c>
      <c r="H18" s="55" t="s">
        <v>48</v>
      </c>
      <c r="I18" s="53" t="s">
        <v>273</v>
      </c>
      <c r="J18" s="55">
        <v>42561.0</v>
      </c>
    </row>
    <row r="19" ht="60.0" customHeight="1">
      <c r="A19" s="39">
        <v>16.0</v>
      </c>
      <c r="B19" s="40" t="s">
        <v>110</v>
      </c>
      <c r="C19" s="40" t="s">
        <v>111</v>
      </c>
      <c r="D19" s="40" t="s">
        <v>112</v>
      </c>
      <c r="E19" s="40" t="s">
        <v>113</v>
      </c>
      <c r="F19" s="39" t="str">
        <f t="shared" si="1"/>
        <v>CORRECT</v>
      </c>
      <c r="G19" s="39" t="s">
        <v>48</v>
      </c>
      <c r="H19" s="55" t="s">
        <v>48</v>
      </c>
      <c r="I19" s="53" t="s">
        <v>114</v>
      </c>
      <c r="J19" s="55">
        <v>23447.0</v>
      </c>
    </row>
    <row r="20" ht="60.0" customHeight="1">
      <c r="A20" s="39">
        <v>17.0</v>
      </c>
      <c r="B20" s="40" t="s">
        <v>115</v>
      </c>
      <c r="C20" s="40" t="s">
        <v>116</v>
      </c>
      <c r="D20" s="40" t="s">
        <v>117</v>
      </c>
      <c r="E20" s="40" t="s">
        <v>118</v>
      </c>
      <c r="F20" s="39" t="str">
        <f t="shared" si="1"/>
        <v>WRONG</v>
      </c>
      <c r="G20" s="39" t="s">
        <v>42</v>
      </c>
      <c r="H20" s="55" t="s">
        <v>36</v>
      </c>
      <c r="I20" s="53" t="s">
        <v>119</v>
      </c>
      <c r="J20" s="55">
        <v>28539.0</v>
      </c>
    </row>
    <row r="21" ht="60.0" customHeight="1">
      <c r="A21" s="39">
        <v>18.0</v>
      </c>
      <c r="B21" s="40" t="s">
        <v>120</v>
      </c>
      <c r="C21" s="40" t="s">
        <v>121</v>
      </c>
      <c r="D21" s="40" t="s">
        <v>122</v>
      </c>
      <c r="E21" s="40" t="s">
        <v>123</v>
      </c>
      <c r="F21" s="39" t="str">
        <f t="shared" si="1"/>
        <v>CORRECT</v>
      </c>
      <c r="G21" s="39" t="s">
        <v>42</v>
      </c>
      <c r="H21" s="55" t="s">
        <v>42</v>
      </c>
      <c r="I21" s="53" t="s">
        <v>401</v>
      </c>
      <c r="J21" s="55">
        <v>21329.0</v>
      </c>
    </row>
    <row r="22" ht="60.0" customHeight="1">
      <c r="A22" s="39">
        <v>19.0</v>
      </c>
      <c r="B22" s="40" t="s">
        <v>125</v>
      </c>
      <c r="C22" s="40" t="s">
        <v>126</v>
      </c>
      <c r="D22" s="40" t="s">
        <v>127</v>
      </c>
      <c r="E22" s="40" t="s">
        <v>128</v>
      </c>
      <c r="F22" s="39" t="str">
        <f t="shared" si="1"/>
        <v>WRONG</v>
      </c>
      <c r="G22" s="39" t="s">
        <v>36</v>
      </c>
      <c r="H22" s="54" t="s">
        <v>48</v>
      </c>
      <c r="I22" s="53" t="s">
        <v>129</v>
      </c>
      <c r="J22" s="55">
        <v>36338.0</v>
      </c>
    </row>
    <row r="23" ht="60.0" customHeight="1">
      <c r="A23" s="39">
        <v>20.0</v>
      </c>
      <c r="B23" s="40" t="s">
        <v>130</v>
      </c>
      <c r="C23" s="40" t="s">
        <v>131</v>
      </c>
      <c r="D23" s="40" t="s">
        <v>132</v>
      </c>
      <c r="E23" s="40" t="s">
        <v>133</v>
      </c>
      <c r="F23" s="39" t="str">
        <f t="shared" si="1"/>
        <v>CORRECT</v>
      </c>
      <c r="G23" s="39" t="s">
        <v>42</v>
      </c>
      <c r="H23" s="55" t="s">
        <v>42</v>
      </c>
      <c r="I23" s="53" t="s">
        <v>134</v>
      </c>
      <c r="J23" s="55">
        <v>14432.0</v>
      </c>
    </row>
    <row r="24" ht="60.0" customHeight="1">
      <c r="A24" s="39">
        <v>21.0</v>
      </c>
      <c r="B24" s="40" t="s">
        <v>135</v>
      </c>
      <c r="C24" s="40" t="s">
        <v>136</v>
      </c>
      <c r="D24" s="40" t="s">
        <v>137</v>
      </c>
      <c r="E24" s="40" t="s">
        <v>138</v>
      </c>
      <c r="F24" s="39" t="str">
        <f t="shared" si="1"/>
        <v>WRONG</v>
      </c>
      <c r="G24" s="39" t="s">
        <v>42</v>
      </c>
      <c r="H24" s="55" t="s">
        <v>36</v>
      </c>
      <c r="I24" s="53" t="s">
        <v>139</v>
      </c>
      <c r="J24" s="55">
        <v>21358.0</v>
      </c>
    </row>
    <row r="25" ht="60.0" customHeight="1">
      <c r="A25" s="39">
        <v>22.0</v>
      </c>
      <c r="B25" s="40" t="s">
        <v>140</v>
      </c>
      <c r="C25" s="40" t="s">
        <v>141</v>
      </c>
      <c r="D25" s="40" t="s">
        <v>142</v>
      </c>
      <c r="E25" s="40" t="s">
        <v>143</v>
      </c>
      <c r="F25" s="39" t="str">
        <f t="shared" si="1"/>
        <v>CORRECT</v>
      </c>
      <c r="G25" s="39" t="s">
        <v>42</v>
      </c>
      <c r="H25" s="55" t="s">
        <v>42</v>
      </c>
      <c r="I25" s="53" t="s">
        <v>144</v>
      </c>
      <c r="J25" s="55">
        <v>18301.0</v>
      </c>
    </row>
    <row r="26" ht="60.0" customHeight="1">
      <c r="A26" s="39">
        <v>23.0</v>
      </c>
      <c r="B26" s="40" t="s">
        <v>145</v>
      </c>
      <c r="C26" s="40" t="s">
        <v>146</v>
      </c>
      <c r="D26" s="40" t="s">
        <v>147</v>
      </c>
      <c r="E26" s="40" t="s">
        <v>148</v>
      </c>
      <c r="F26" s="39" t="str">
        <f t="shared" si="1"/>
        <v>CORRECT</v>
      </c>
      <c r="G26" s="39" t="s">
        <v>48</v>
      </c>
      <c r="H26" s="55" t="s">
        <v>48</v>
      </c>
      <c r="I26" s="53" t="s">
        <v>149</v>
      </c>
      <c r="J26" s="55">
        <v>18136.0</v>
      </c>
    </row>
    <row r="27" ht="60.0" customHeight="1">
      <c r="A27" s="39">
        <v>24.0</v>
      </c>
      <c r="B27" s="40" t="s">
        <v>150</v>
      </c>
      <c r="C27" s="40" t="s">
        <v>151</v>
      </c>
      <c r="D27" s="40" t="s">
        <v>152</v>
      </c>
      <c r="E27" s="40" t="s">
        <v>153</v>
      </c>
      <c r="F27" s="39" t="str">
        <f t="shared" si="1"/>
        <v>CORRECT</v>
      </c>
      <c r="G27" s="39" t="s">
        <v>36</v>
      </c>
      <c r="H27" s="55" t="s">
        <v>36</v>
      </c>
      <c r="I27" s="53" t="s">
        <v>154</v>
      </c>
      <c r="J27" s="55">
        <v>19247.0</v>
      </c>
    </row>
    <row r="28" ht="60.0" customHeight="1">
      <c r="A28" s="39">
        <v>25.0</v>
      </c>
      <c r="B28" s="40" t="s">
        <v>155</v>
      </c>
      <c r="C28" s="40" t="s">
        <v>151</v>
      </c>
      <c r="D28" s="40" t="s">
        <v>156</v>
      </c>
      <c r="E28" s="40" t="s">
        <v>153</v>
      </c>
      <c r="F28" s="39" t="str">
        <f t="shared" si="1"/>
        <v>CORRECT</v>
      </c>
      <c r="G28" s="39" t="s">
        <v>48</v>
      </c>
      <c r="H28" s="54" t="s">
        <v>48</v>
      </c>
      <c r="I28" s="53" t="s">
        <v>275</v>
      </c>
      <c r="J28" s="55">
        <v>15893.0</v>
      </c>
    </row>
    <row r="29" ht="60.0" customHeight="1">
      <c r="A29" s="39">
        <v>26.0</v>
      </c>
      <c r="B29" s="40" t="s">
        <v>158</v>
      </c>
      <c r="C29" s="40" t="s">
        <v>159</v>
      </c>
      <c r="D29" s="40" t="s">
        <v>160</v>
      </c>
      <c r="E29" s="40" t="s">
        <v>161</v>
      </c>
      <c r="F29" s="39" t="str">
        <f t="shared" si="1"/>
        <v>WRONG</v>
      </c>
      <c r="G29" s="39" t="s">
        <v>36</v>
      </c>
      <c r="H29" s="54" t="s">
        <v>48</v>
      </c>
      <c r="I29" s="53" t="s">
        <v>276</v>
      </c>
      <c r="J29" s="55">
        <v>22203.0</v>
      </c>
    </row>
    <row r="30" ht="60.0" customHeight="1">
      <c r="A30" s="39">
        <v>27.0</v>
      </c>
      <c r="B30" s="40" t="s">
        <v>163</v>
      </c>
      <c r="C30" s="40" t="s">
        <v>164</v>
      </c>
      <c r="D30" s="40" t="s">
        <v>165</v>
      </c>
      <c r="E30" s="40" t="s">
        <v>166</v>
      </c>
      <c r="F30" s="39" t="str">
        <f t="shared" si="1"/>
        <v>CORRECT</v>
      </c>
      <c r="G30" s="39" t="s">
        <v>42</v>
      </c>
      <c r="H30" s="54" t="s">
        <v>42</v>
      </c>
      <c r="I30" s="53" t="s">
        <v>167</v>
      </c>
      <c r="J30" s="55">
        <v>28342.0</v>
      </c>
    </row>
    <row r="31" ht="60.0" customHeight="1">
      <c r="A31" s="39">
        <v>28.0</v>
      </c>
      <c r="B31" s="40" t="s">
        <v>168</v>
      </c>
      <c r="C31" s="40" t="s">
        <v>169</v>
      </c>
      <c r="D31" s="40" t="s">
        <v>170</v>
      </c>
      <c r="E31" s="40" t="s">
        <v>171</v>
      </c>
      <c r="F31" s="39" t="str">
        <f t="shared" si="1"/>
        <v>WRONG</v>
      </c>
      <c r="G31" s="39" t="s">
        <v>36</v>
      </c>
      <c r="H31" s="54" t="s">
        <v>48</v>
      </c>
      <c r="I31" s="53" t="s">
        <v>172</v>
      </c>
      <c r="J31" s="55">
        <v>23054.0</v>
      </c>
    </row>
    <row r="32" ht="60.0" customHeight="1">
      <c r="A32" s="39">
        <v>29.0</v>
      </c>
      <c r="B32" s="40" t="s">
        <v>173</v>
      </c>
      <c r="C32" s="40" t="s">
        <v>174</v>
      </c>
      <c r="D32" s="40" t="s">
        <v>175</v>
      </c>
      <c r="E32" s="40" t="s">
        <v>176</v>
      </c>
      <c r="F32" s="39" t="str">
        <f t="shared" si="1"/>
        <v>CORRECT</v>
      </c>
      <c r="G32" s="39" t="s">
        <v>42</v>
      </c>
      <c r="H32" s="55" t="s">
        <v>42</v>
      </c>
      <c r="I32" s="53" t="s">
        <v>177</v>
      </c>
      <c r="J32" s="55">
        <v>26658.0</v>
      </c>
    </row>
    <row r="33" ht="60.0" customHeight="1">
      <c r="A33" s="39">
        <v>30.0</v>
      </c>
      <c r="B33" s="40" t="s">
        <v>178</v>
      </c>
      <c r="C33" s="40" t="s">
        <v>179</v>
      </c>
      <c r="D33" s="40" t="s">
        <v>180</v>
      </c>
      <c r="E33" s="40" t="s">
        <v>181</v>
      </c>
      <c r="F33" s="39" t="str">
        <f t="shared" si="1"/>
        <v>WRONG</v>
      </c>
      <c r="G33" s="39" t="s">
        <v>48</v>
      </c>
      <c r="H33" s="55" t="s">
        <v>36</v>
      </c>
      <c r="I33" s="53" t="s">
        <v>182</v>
      </c>
      <c r="J33" s="55">
        <v>32817.0</v>
      </c>
    </row>
    <row r="34" ht="60.0" customHeight="1">
      <c r="A34" s="39">
        <v>31.0</v>
      </c>
      <c r="B34" s="40" t="s">
        <v>183</v>
      </c>
      <c r="C34" s="40" t="s">
        <v>184</v>
      </c>
      <c r="D34" s="40" t="s">
        <v>185</v>
      </c>
      <c r="E34" s="40" t="s">
        <v>186</v>
      </c>
      <c r="F34" s="39" t="str">
        <f t="shared" si="1"/>
        <v>WRONG</v>
      </c>
      <c r="G34" s="39" t="s">
        <v>42</v>
      </c>
      <c r="H34" s="55" t="s">
        <v>36</v>
      </c>
      <c r="I34" s="53" t="s">
        <v>187</v>
      </c>
      <c r="J34" s="55">
        <v>29655.0</v>
      </c>
    </row>
    <row r="35" ht="60.0" customHeight="1">
      <c r="A35" s="39">
        <v>32.0</v>
      </c>
      <c r="B35" s="40" t="s">
        <v>188</v>
      </c>
      <c r="C35" s="40" t="s">
        <v>189</v>
      </c>
      <c r="D35" s="40" t="s">
        <v>190</v>
      </c>
      <c r="E35" s="40" t="s">
        <v>191</v>
      </c>
      <c r="F35" s="39" t="str">
        <f t="shared" si="1"/>
        <v>CORRECT</v>
      </c>
      <c r="G35" s="39" t="s">
        <v>36</v>
      </c>
      <c r="H35" s="54" t="s">
        <v>36</v>
      </c>
      <c r="I35" s="53" t="s">
        <v>192</v>
      </c>
      <c r="J35" s="55">
        <v>37074.0</v>
      </c>
    </row>
    <row r="36" ht="60.0" customHeight="1">
      <c r="A36" s="39">
        <v>33.0</v>
      </c>
      <c r="B36" s="40" t="s">
        <v>193</v>
      </c>
      <c r="C36" s="40" t="s">
        <v>194</v>
      </c>
      <c r="D36" s="40" t="s">
        <v>195</v>
      </c>
      <c r="E36" s="40" t="s">
        <v>196</v>
      </c>
      <c r="F36" s="39" t="str">
        <f t="shared" si="1"/>
        <v>CORRECT</v>
      </c>
      <c r="G36" s="39" t="s">
        <v>48</v>
      </c>
      <c r="H36" s="54" t="s">
        <v>48</v>
      </c>
      <c r="I36" s="53" t="s">
        <v>197</v>
      </c>
      <c r="J36" s="55">
        <v>31234.0</v>
      </c>
    </row>
    <row r="37" ht="60.0" customHeight="1">
      <c r="A37" s="39">
        <v>34.0</v>
      </c>
      <c r="B37" s="40" t="s">
        <v>198</v>
      </c>
      <c r="C37" s="40" t="s">
        <v>199</v>
      </c>
      <c r="D37" s="40" t="s">
        <v>200</v>
      </c>
      <c r="E37" s="40" t="s">
        <v>201</v>
      </c>
      <c r="F37" s="39" t="str">
        <f t="shared" si="1"/>
        <v>CORRECT</v>
      </c>
      <c r="G37" s="39" t="s">
        <v>36</v>
      </c>
      <c r="H37" s="55" t="s">
        <v>36</v>
      </c>
      <c r="I37" s="53" t="s">
        <v>202</v>
      </c>
      <c r="J37" s="55">
        <v>28497.0</v>
      </c>
    </row>
    <row r="38" ht="60.0" customHeight="1">
      <c r="A38" s="39">
        <v>35.0</v>
      </c>
      <c r="B38" s="40" t="s">
        <v>203</v>
      </c>
      <c r="C38" s="40" t="s">
        <v>204</v>
      </c>
      <c r="D38" s="40" t="s">
        <v>205</v>
      </c>
      <c r="E38" s="40" t="s">
        <v>206</v>
      </c>
      <c r="F38" s="39" t="str">
        <f t="shared" si="1"/>
        <v>WRONG</v>
      </c>
      <c r="G38" s="39" t="s">
        <v>48</v>
      </c>
      <c r="H38" s="55" t="s">
        <v>36</v>
      </c>
      <c r="I38" s="53" t="s">
        <v>207</v>
      </c>
      <c r="J38" s="55">
        <v>29761.0</v>
      </c>
    </row>
    <row r="39" ht="60.0" customHeight="1">
      <c r="A39" s="39">
        <v>36.0</v>
      </c>
      <c r="B39" s="40" t="s">
        <v>208</v>
      </c>
      <c r="C39" s="40" t="s">
        <v>209</v>
      </c>
      <c r="D39" s="40" t="s">
        <v>210</v>
      </c>
      <c r="E39" s="40" t="s">
        <v>211</v>
      </c>
      <c r="F39" s="39" t="str">
        <f t="shared" si="1"/>
        <v>CORRECT</v>
      </c>
      <c r="G39" s="39" t="s">
        <v>36</v>
      </c>
      <c r="H39" s="55" t="s">
        <v>36</v>
      </c>
      <c r="I39" s="53" t="s">
        <v>212</v>
      </c>
      <c r="J39" s="55">
        <v>19487.0</v>
      </c>
    </row>
    <row r="40" ht="60.0" customHeight="1">
      <c r="A40" s="39">
        <v>37.0</v>
      </c>
      <c r="B40" s="40" t="s">
        <v>213</v>
      </c>
      <c r="C40" s="40" t="s">
        <v>214</v>
      </c>
      <c r="D40" s="40" t="s">
        <v>215</v>
      </c>
      <c r="E40" s="40" t="s">
        <v>216</v>
      </c>
      <c r="F40" s="39" t="str">
        <f t="shared" si="1"/>
        <v>WRONG</v>
      </c>
      <c r="G40" s="39" t="s">
        <v>36</v>
      </c>
      <c r="H40" s="55" t="s">
        <v>42</v>
      </c>
      <c r="I40" s="53" t="s">
        <v>217</v>
      </c>
      <c r="J40" s="55">
        <v>23126.0</v>
      </c>
    </row>
    <row r="41" ht="60.0" customHeight="1">
      <c r="A41" s="39">
        <v>38.0</v>
      </c>
      <c r="B41" s="40" t="s">
        <v>218</v>
      </c>
      <c r="C41" s="40" t="s">
        <v>219</v>
      </c>
      <c r="D41" s="40" t="s">
        <v>220</v>
      </c>
      <c r="E41" s="40" t="s">
        <v>221</v>
      </c>
      <c r="F41" s="39" t="str">
        <f t="shared" si="1"/>
        <v>CORRECT</v>
      </c>
      <c r="G41" s="39" t="s">
        <v>36</v>
      </c>
      <c r="H41" s="55" t="s">
        <v>36</v>
      </c>
      <c r="I41" s="53" t="s">
        <v>402</v>
      </c>
      <c r="J41" s="55">
        <v>28393.0</v>
      </c>
    </row>
    <row r="42" ht="60.0" customHeight="1">
      <c r="A42" s="39">
        <v>39.0</v>
      </c>
      <c r="B42" s="40" t="s">
        <v>223</v>
      </c>
      <c r="C42" s="40" t="s">
        <v>224</v>
      </c>
      <c r="D42" s="40" t="s">
        <v>225</v>
      </c>
      <c r="E42" s="40" t="s">
        <v>226</v>
      </c>
      <c r="F42" s="39" t="str">
        <f t="shared" si="1"/>
        <v>WRONG</v>
      </c>
      <c r="G42" s="39" t="s">
        <v>42</v>
      </c>
      <c r="H42" s="55" t="s">
        <v>36</v>
      </c>
      <c r="I42" s="53" t="s">
        <v>227</v>
      </c>
      <c r="J42" s="55">
        <v>17545.0</v>
      </c>
    </row>
    <row r="43" ht="60.0" customHeight="1">
      <c r="A43" s="39">
        <v>40.0</v>
      </c>
      <c r="B43" s="40" t="s">
        <v>228</v>
      </c>
      <c r="C43" s="40" t="s">
        <v>229</v>
      </c>
      <c r="D43" s="40" t="s">
        <v>230</v>
      </c>
      <c r="E43" s="40" t="s">
        <v>231</v>
      </c>
      <c r="F43" s="39" t="str">
        <f t="shared" si="1"/>
        <v>CORRECT</v>
      </c>
      <c r="G43" s="39" t="s">
        <v>48</v>
      </c>
      <c r="H43" s="55" t="s">
        <v>48</v>
      </c>
      <c r="I43" s="53" t="s">
        <v>232</v>
      </c>
      <c r="J43" s="55">
        <v>33839.0</v>
      </c>
    </row>
    <row r="44" ht="60.0" customHeight="1">
      <c r="A44" s="39">
        <v>41.0</v>
      </c>
      <c r="B44" s="40" t="s">
        <v>233</v>
      </c>
      <c r="C44" s="40" t="s">
        <v>234</v>
      </c>
      <c r="D44" s="40" t="s">
        <v>235</v>
      </c>
      <c r="E44" s="40" t="s">
        <v>236</v>
      </c>
      <c r="F44" s="39" t="str">
        <f t="shared" si="1"/>
        <v>CORRECT</v>
      </c>
      <c r="G44" s="39" t="s">
        <v>42</v>
      </c>
      <c r="H44" s="55" t="s">
        <v>42</v>
      </c>
      <c r="I44" s="53" t="s">
        <v>237</v>
      </c>
      <c r="J44" s="55">
        <v>11518.0</v>
      </c>
    </row>
    <row r="45" ht="60.0" customHeight="1">
      <c r="A45" s="39">
        <v>42.0</v>
      </c>
      <c r="B45" s="40" t="s">
        <v>238</v>
      </c>
      <c r="C45" s="40" t="s">
        <v>239</v>
      </c>
      <c r="D45" s="40" t="s">
        <v>240</v>
      </c>
      <c r="E45" s="40" t="s">
        <v>241</v>
      </c>
      <c r="F45" s="39" t="str">
        <f t="shared" si="1"/>
        <v>WRONG</v>
      </c>
      <c r="G45" s="39" t="s">
        <v>36</v>
      </c>
      <c r="H45" s="55" t="s">
        <v>42</v>
      </c>
      <c r="I45" s="53" t="s">
        <v>242</v>
      </c>
      <c r="J45" s="55">
        <v>34915.0</v>
      </c>
    </row>
    <row r="46" ht="60.0" customHeight="1">
      <c r="A46" s="39">
        <v>43.0</v>
      </c>
      <c r="B46" s="40" t="s">
        <v>243</v>
      </c>
      <c r="C46" s="40" t="s">
        <v>244</v>
      </c>
      <c r="D46" s="40" t="s">
        <v>245</v>
      </c>
      <c r="E46" s="40" t="s">
        <v>246</v>
      </c>
      <c r="F46" s="39" t="str">
        <f t="shared" si="1"/>
        <v>CORRECT</v>
      </c>
      <c r="G46" s="39" t="s">
        <v>48</v>
      </c>
      <c r="H46" s="55" t="s">
        <v>48</v>
      </c>
      <c r="I46" s="53" t="s">
        <v>247</v>
      </c>
      <c r="J46" s="55">
        <v>22465.0</v>
      </c>
    </row>
    <row r="47" ht="60.0" customHeight="1">
      <c r="A47" s="39">
        <v>44.0</v>
      </c>
      <c r="B47" s="40" t="s">
        <v>248</v>
      </c>
      <c r="C47" s="40" t="s">
        <v>249</v>
      </c>
      <c r="D47" s="40" t="s">
        <v>250</v>
      </c>
      <c r="E47" s="40" t="s">
        <v>251</v>
      </c>
      <c r="F47" s="39" t="str">
        <f t="shared" si="1"/>
        <v>WRONG</v>
      </c>
      <c r="G47" s="39" t="s">
        <v>36</v>
      </c>
      <c r="H47" s="54" t="s">
        <v>48</v>
      </c>
      <c r="I47" s="53" t="s">
        <v>252</v>
      </c>
      <c r="J47" s="55">
        <v>23426.0</v>
      </c>
    </row>
    <row r="48" ht="60.0" customHeight="1">
      <c r="A48" s="39">
        <v>45.0</v>
      </c>
      <c r="B48" s="40" t="s">
        <v>253</v>
      </c>
      <c r="C48" s="40" t="s">
        <v>254</v>
      </c>
      <c r="D48" s="40" t="s">
        <v>255</v>
      </c>
      <c r="E48" s="40" t="s">
        <v>256</v>
      </c>
      <c r="F48" s="39" t="str">
        <f t="shared" si="1"/>
        <v>CORRECT</v>
      </c>
      <c r="G48" s="39" t="s">
        <v>36</v>
      </c>
      <c r="H48" s="55" t="s">
        <v>36</v>
      </c>
      <c r="I48" s="53" t="s">
        <v>403</v>
      </c>
      <c r="J48" s="55">
        <v>30233.0</v>
      </c>
    </row>
    <row r="49" ht="60.0" customHeight="1">
      <c r="A49" s="39">
        <v>46.0</v>
      </c>
      <c r="B49" s="40" t="s">
        <v>258</v>
      </c>
      <c r="C49" s="40" t="s">
        <v>39</v>
      </c>
      <c r="D49" s="40" t="s">
        <v>259</v>
      </c>
      <c r="E49" s="40" t="s">
        <v>260</v>
      </c>
      <c r="F49" s="39" t="str">
        <f t="shared" si="1"/>
        <v>CORRECT</v>
      </c>
      <c r="G49" s="39" t="s">
        <v>36</v>
      </c>
      <c r="H49" s="55" t="s">
        <v>36</v>
      </c>
      <c r="I49" s="53" t="s">
        <v>261</v>
      </c>
      <c r="J49" s="55">
        <v>25972.0</v>
      </c>
    </row>
    <row r="50">
      <c r="A50" s="44" t="s">
        <v>262</v>
      </c>
      <c r="B50" s="2"/>
      <c r="C50" s="2"/>
      <c r="D50" s="2"/>
      <c r="E50" s="3"/>
      <c r="F50" s="45">
        <f>COUNTIFS(F4:F49,"CORRECT")</f>
        <v>30</v>
      </c>
      <c r="G50" s="46"/>
      <c r="H50" s="46"/>
      <c r="J50" s="47">
        <f>AVERAGE(J4:J49)</f>
        <v>26888.93478</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404</v>
      </c>
      <c r="C2" s="2"/>
      <c r="D2" s="2"/>
      <c r="E2" s="2"/>
      <c r="F2" s="2"/>
      <c r="G2" s="2"/>
      <c r="H2" s="3"/>
      <c r="I2" s="37" t="s">
        <v>405</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406</v>
      </c>
      <c r="J4" s="55">
        <v>29265.0</v>
      </c>
    </row>
    <row r="5" ht="60.0" customHeight="1">
      <c r="A5" s="39">
        <v>2.0</v>
      </c>
      <c r="B5" s="40" t="s">
        <v>38</v>
      </c>
      <c r="C5" s="40" t="s">
        <v>39</v>
      </c>
      <c r="D5" s="40" t="s">
        <v>40</v>
      </c>
      <c r="E5" s="40" t="s">
        <v>41</v>
      </c>
      <c r="F5" s="39" t="str">
        <f t="shared" si="1"/>
        <v>CORRECT</v>
      </c>
      <c r="G5" s="39" t="s">
        <v>42</v>
      </c>
      <c r="H5" s="54" t="s">
        <v>42</v>
      </c>
      <c r="I5" s="53" t="s">
        <v>407</v>
      </c>
      <c r="J5" s="55">
        <v>17345.0</v>
      </c>
    </row>
    <row r="6" ht="60.0" customHeight="1">
      <c r="A6" s="39">
        <v>3.0</v>
      </c>
      <c r="B6" s="40" t="s">
        <v>44</v>
      </c>
      <c r="C6" s="40" t="s">
        <v>45</v>
      </c>
      <c r="D6" s="40" t="s">
        <v>46</v>
      </c>
      <c r="E6" s="40" t="s">
        <v>47</v>
      </c>
      <c r="F6" s="39" t="str">
        <f t="shared" si="1"/>
        <v>CORRECT</v>
      </c>
      <c r="G6" s="39" t="s">
        <v>48</v>
      </c>
      <c r="H6" s="55" t="s">
        <v>48</v>
      </c>
      <c r="I6" s="53" t="s">
        <v>408</v>
      </c>
      <c r="J6" s="55">
        <v>34633.0</v>
      </c>
    </row>
    <row r="7" ht="60.0" customHeight="1">
      <c r="A7" s="39">
        <v>4.0</v>
      </c>
      <c r="B7" s="40" t="s">
        <v>50</v>
      </c>
      <c r="C7" s="40" t="s">
        <v>51</v>
      </c>
      <c r="D7" s="40" t="s">
        <v>52</v>
      </c>
      <c r="E7" s="40" t="s">
        <v>53</v>
      </c>
      <c r="F7" s="39" t="str">
        <f t="shared" si="1"/>
        <v>CORRECT</v>
      </c>
      <c r="G7" s="39" t="s">
        <v>42</v>
      </c>
      <c r="H7" s="55" t="s">
        <v>42</v>
      </c>
      <c r="I7" s="53" t="s">
        <v>409</v>
      </c>
      <c r="J7" s="55">
        <v>21129.0</v>
      </c>
    </row>
    <row r="8" ht="60.0" customHeight="1">
      <c r="A8" s="39">
        <v>5.0</v>
      </c>
      <c r="B8" s="40" t="s">
        <v>55</v>
      </c>
      <c r="C8" s="40" t="s">
        <v>56</v>
      </c>
      <c r="D8" s="40" t="s">
        <v>57</v>
      </c>
      <c r="E8" s="40" t="s">
        <v>58</v>
      </c>
      <c r="F8" s="39" t="str">
        <f t="shared" si="1"/>
        <v>CORRECT</v>
      </c>
      <c r="G8" s="39" t="s">
        <v>48</v>
      </c>
      <c r="H8" s="54" t="s">
        <v>48</v>
      </c>
      <c r="I8" s="53" t="s">
        <v>410</v>
      </c>
      <c r="J8" s="55">
        <v>35236.0</v>
      </c>
    </row>
    <row r="9" ht="60.0" customHeight="1">
      <c r="A9" s="39">
        <v>6.0</v>
      </c>
      <c r="B9" s="40" t="s">
        <v>60</v>
      </c>
      <c r="C9" s="40" t="s">
        <v>61</v>
      </c>
      <c r="D9" s="40" t="s">
        <v>62</v>
      </c>
      <c r="E9" s="40" t="s">
        <v>63</v>
      </c>
      <c r="F9" s="39" t="str">
        <f t="shared" si="1"/>
        <v>CORRECT</v>
      </c>
      <c r="G9" s="39" t="s">
        <v>42</v>
      </c>
      <c r="H9" s="55" t="s">
        <v>42</v>
      </c>
      <c r="I9" s="53" t="s">
        <v>411</v>
      </c>
      <c r="J9" s="55">
        <v>20808.0</v>
      </c>
    </row>
    <row r="10" ht="60.0" customHeight="1">
      <c r="A10" s="39">
        <v>7.0</v>
      </c>
      <c r="B10" s="40" t="s">
        <v>65</v>
      </c>
      <c r="C10" s="40" t="s">
        <v>66</v>
      </c>
      <c r="D10" s="40" t="s">
        <v>67</v>
      </c>
      <c r="E10" s="40" t="s">
        <v>68</v>
      </c>
      <c r="F10" s="39" t="str">
        <f t="shared" si="1"/>
        <v>WRONG</v>
      </c>
      <c r="G10" s="39" t="s">
        <v>42</v>
      </c>
      <c r="H10" s="55" t="s">
        <v>36</v>
      </c>
      <c r="I10" s="53" t="s">
        <v>412</v>
      </c>
      <c r="J10" s="55">
        <v>26031.0</v>
      </c>
    </row>
    <row r="11" ht="60.0" customHeight="1">
      <c r="A11" s="39">
        <v>8.0</v>
      </c>
      <c r="B11" s="40" t="s">
        <v>70</v>
      </c>
      <c r="C11" s="40" t="s">
        <v>71</v>
      </c>
      <c r="D11" s="40" t="s">
        <v>72</v>
      </c>
      <c r="E11" s="40" t="s">
        <v>73</v>
      </c>
      <c r="F11" s="39" t="str">
        <f t="shared" si="1"/>
        <v>WRONG</v>
      </c>
      <c r="G11" s="39" t="s">
        <v>48</v>
      </c>
      <c r="H11" s="55" t="s">
        <v>42</v>
      </c>
      <c r="I11" s="53" t="s">
        <v>413</v>
      </c>
      <c r="J11" s="55">
        <v>26017.0</v>
      </c>
    </row>
    <row r="12" ht="60.0" customHeight="1">
      <c r="A12" s="39">
        <v>9.0</v>
      </c>
      <c r="B12" s="40" t="s">
        <v>75</v>
      </c>
      <c r="C12" s="40" t="s">
        <v>76</v>
      </c>
      <c r="D12" s="40" t="s">
        <v>77</v>
      </c>
      <c r="E12" s="40" t="s">
        <v>78</v>
      </c>
      <c r="F12" s="39" t="str">
        <f t="shared" si="1"/>
        <v>WRONG</v>
      </c>
      <c r="G12" s="39" t="s">
        <v>42</v>
      </c>
      <c r="H12" s="54" t="s">
        <v>48</v>
      </c>
      <c r="I12" s="53" t="s">
        <v>414</v>
      </c>
      <c r="J12" s="55">
        <v>24557.0</v>
      </c>
    </row>
    <row r="13" ht="60.0" customHeight="1">
      <c r="A13" s="39">
        <v>10.0</v>
      </c>
      <c r="B13" s="40" t="s">
        <v>80</v>
      </c>
      <c r="C13" s="40" t="s">
        <v>81</v>
      </c>
      <c r="D13" s="40" t="s">
        <v>82</v>
      </c>
      <c r="E13" s="40" t="s">
        <v>83</v>
      </c>
      <c r="F13" s="39" t="str">
        <f t="shared" si="1"/>
        <v>CORRECT</v>
      </c>
      <c r="G13" s="39" t="s">
        <v>48</v>
      </c>
      <c r="H13" s="55" t="s">
        <v>48</v>
      </c>
      <c r="I13" s="53" t="s">
        <v>415</v>
      </c>
      <c r="J13" s="55">
        <v>45533.0</v>
      </c>
    </row>
    <row r="14" ht="60.0" customHeight="1">
      <c r="A14" s="39">
        <v>11.0</v>
      </c>
      <c r="B14" s="40" t="s">
        <v>85</v>
      </c>
      <c r="C14" s="40" t="s">
        <v>86</v>
      </c>
      <c r="D14" s="40" t="s">
        <v>87</v>
      </c>
      <c r="E14" s="40" t="s">
        <v>88</v>
      </c>
      <c r="F14" s="39" t="str">
        <f t="shared" si="1"/>
        <v>CORRECT</v>
      </c>
      <c r="G14" s="39" t="s">
        <v>42</v>
      </c>
      <c r="H14" s="54" t="s">
        <v>42</v>
      </c>
      <c r="I14" s="53" t="s">
        <v>416</v>
      </c>
      <c r="J14" s="55">
        <v>28558.0</v>
      </c>
    </row>
    <row r="15" ht="60.0" customHeight="1">
      <c r="A15" s="39">
        <v>12.0</v>
      </c>
      <c r="B15" s="40" t="s">
        <v>90</v>
      </c>
      <c r="C15" s="40" t="s">
        <v>91</v>
      </c>
      <c r="D15" s="40" t="s">
        <v>92</v>
      </c>
      <c r="E15" s="40" t="s">
        <v>93</v>
      </c>
      <c r="F15" s="39" t="str">
        <f t="shared" si="1"/>
        <v>CORRECT</v>
      </c>
      <c r="G15" s="39" t="s">
        <v>48</v>
      </c>
      <c r="H15" s="54" t="s">
        <v>48</v>
      </c>
      <c r="I15" s="53" t="s">
        <v>417</v>
      </c>
      <c r="J15" s="55">
        <v>36296.0</v>
      </c>
    </row>
    <row r="16" ht="60.0" customHeight="1">
      <c r="A16" s="39">
        <v>13.0</v>
      </c>
      <c r="B16" s="40" t="s">
        <v>95</v>
      </c>
      <c r="C16" s="40" t="s">
        <v>96</v>
      </c>
      <c r="D16" s="40" t="s">
        <v>97</v>
      </c>
      <c r="E16" s="40" t="s">
        <v>98</v>
      </c>
      <c r="F16" s="39" t="str">
        <f t="shared" si="1"/>
        <v>CORRECT</v>
      </c>
      <c r="G16" s="39" t="s">
        <v>36</v>
      </c>
      <c r="H16" s="55" t="s">
        <v>36</v>
      </c>
      <c r="I16" s="53" t="s">
        <v>418</v>
      </c>
      <c r="J16" s="55">
        <v>28135.0</v>
      </c>
    </row>
    <row r="17" ht="60.0" customHeight="1">
      <c r="A17" s="39">
        <v>14.0</v>
      </c>
      <c r="B17" s="40" t="s">
        <v>100</v>
      </c>
      <c r="C17" s="40" t="s">
        <v>101</v>
      </c>
      <c r="D17" s="40" t="s">
        <v>102</v>
      </c>
      <c r="E17" s="40" t="s">
        <v>103</v>
      </c>
      <c r="F17" s="39" t="str">
        <f t="shared" si="1"/>
        <v>WRONG</v>
      </c>
      <c r="G17" s="39" t="s">
        <v>36</v>
      </c>
      <c r="H17" s="55" t="s">
        <v>48</v>
      </c>
      <c r="I17" s="53" t="s">
        <v>419</v>
      </c>
      <c r="J17" s="55">
        <v>30333.0</v>
      </c>
    </row>
    <row r="18" ht="60.0" customHeight="1">
      <c r="A18" s="39">
        <v>15.0</v>
      </c>
      <c r="B18" s="40" t="s">
        <v>105</v>
      </c>
      <c r="C18" s="40" t="s">
        <v>106</v>
      </c>
      <c r="D18" s="40" t="s">
        <v>107</v>
      </c>
      <c r="E18" s="40" t="s">
        <v>108</v>
      </c>
      <c r="F18" s="39" t="str">
        <f t="shared" si="1"/>
        <v>CORRECT</v>
      </c>
      <c r="G18" s="39" t="s">
        <v>48</v>
      </c>
      <c r="H18" s="55" t="s">
        <v>48</v>
      </c>
      <c r="I18" s="53" t="s">
        <v>420</v>
      </c>
      <c r="J18" s="55">
        <v>28823.0</v>
      </c>
    </row>
    <row r="19" ht="60.0" customHeight="1">
      <c r="A19" s="39">
        <v>16.0</v>
      </c>
      <c r="B19" s="40" t="s">
        <v>110</v>
      </c>
      <c r="C19" s="40" t="s">
        <v>111</v>
      </c>
      <c r="D19" s="40" t="s">
        <v>112</v>
      </c>
      <c r="E19" s="40" t="s">
        <v>113</v>
      </c>
      <c r="F19" s="39" t="str">
        <f t="shared" si="1"/>
        <v>CORRECT</v>
      </c>
      <c r="G19" s="39" t="s">
        <v>48</v>
      </c>
      <c r="H19" s="55" t="s">
        <v>48</v>
      </c>
      <c r="I19" s="53" t="s">
        <v>421</v>
      </c>
      <c r="J19" s="55">
        <v>30783.0</v>
      </c>
    </row>
    <row r="20" ht="60.0" customHeight="1">
      <c r="A20" s="39">
        <v>17.0</v>
      </c>
      <c r="B20" s="40" t="s">
        <v>115</v>
      </c>
      <c r="C20" s="40" t="s">
        <v>116</v>
      </c>
      <c r="D20" s="40" t="s">
        <v>117</v>
      </c>
      <c r="E20" s="40" t="s">
        <v>118</v>
      </c>
      <c r="F20" s="39" t="str">
        <f t="shared" si="1"/>
        <v>WRONG</v>
      </c>
      <c r="G20" s="39" t="s">
        <v>42</v>
      </c>
      <c r="H20" s="55" t="s">
        <v>36</v>
      </c>
      <c r="I20" s="53" t="s">
        <v>422</v>
      </c>
      <c r="J20" s="55">
        <v>26386.0</v>
      </c>
    </row>
    <row r="21" ht="60.0" customHeight="1">
      <c r="A21" s="39">
        <v>18.0</v>
      </c>
      <c r="B21" s="40" t="s">
        <v>120</v>
      </c>
      <c r="C21" s="40" t="s">
        <v>121</v>
      </c>
      <c r="D21" s="40" t="s">
        <v>122</v>
      </c>
      <c r="E21" s="40" t="s">
        <v>123</v>
      </c>
      <c r="F21" s="39" t="str">
        <f t="shared" si="1"/>
        <v>CORRECT</v>
      </c>
      <c r="G21" s="39" t="s">
        <v>42</v>
      </c>
      <c r="H21" s="55" t="s">
        <v>42</v>
      </c>
      <c r="I21" s="53" t="s">
        <v>423</v>
      </c>
      <c r="J21" s="55">
        <v>26879.0</v>
      </c>
    </row>
    <row r="22" ht="60.0" customHeight="1">
      <c r="A22" s="39">
        <v>19.0</v>
      </c>
      <c r="B22" s="40" t="s">
        <v>125</v>
      </c>
      <c r="C22" s="40" t="s">
        <v>126</v>
      </c>
      <c r="D22" s="40" t="s">
        <v>127</v>
      </c>
      <c r="E22" s="40" t="s">
        <v>128</v>
      </c>
      <c r="F22" s="39" t="str">
        <f t="shared" si="1"/>
        <v>WRONG</v>
      </c>
      <c r="G22" s="39" t="s">
        <v>36</v>
      </c>
      <c r="H22" s="54" t="s">
        <v>48</v>
      </c>
      <c r="I22" s="53" t="s">
        <v>424</v>
      </c>
      <c r="J22" s="55">
        <v>29541.0</v>
      </c>
    </row>
    <row r="23" ht="60.0" customHeight="1">
      <c r="A23" s="39">
        <v>20.0</v>
      </c>
      <c r="B23" s="40" t="s">
        <v>130</v>
      </c>
      <c r="C23" s="40" t="s">
        <v>131</v>
      </c>
      <c r="D23" s="40" t="s">
        <v>132</v>
      </c>
      <c r="E23" s="40" t="s">
        <v>133</v>
      </c>
      <c r="F23" s="39" t="str">
        <f t="shared" si="1"/>
        <v>WRONG</v>
      </c>
      <c r="G23" s="39" t="s">
        <v>42</v>
      </c>
      <c r="H23" s="55" t="s">
        <v>48</v>
      </c>
      <c r="I23" s="53" t="s">
        <v>328</v>
      </c>
      <c r="J23" s="55">
        <v>13340.0</v>
      </c>
    </row>
    <row r="24" ht="60.0" customHeight="1">
      <c r="A24" s="39">
        <v>21.0</v>
      </c>
      <c r="B24" s="40" t="s">
        <v>135</v>
      </c>
      <c r="C24" s="40" t="s">
        <v>136</v>
      </c>
      <c r="D24" s="40" t="s">
        <v>137</v>
      </c>
      <c r="E24" s="40" t="s">
        <v>138</v>
      </c>
      <c r="F24" s="39" t="str">
        <f t="shared" si="1"/>
        <v>WRONG</v>
      </c>
      <c r="G24" s="39" t="s">
        <v>42</v>
      </c>
      <c r="H24" s="55" t="s">
        <v>36</v>
      </c>
      <c r="I24" s="53" t="s">
        <v>425</v>
      </c>
      <c r="J24" s="55">
        <v>23725.0</v>
      </c>
    </row>
    <row r="25" ht="60.0" customHeight="1">
      <c r="A25" s="39">
        <v>22.0</v>
      </c>
      <c r="B25" s="40" t="s">
        <v>140</v>
      </c>
      <c r="C25" s="40" t="s">
        <v>141</v>
      </c>
      <c r="D25" s="40" t="s">
        <v>142</v>
      </c>
      <c r="E25" s="40" t="s">
        <v>143</v>
      </c>
      <c r="F25" s="39" t="str">
        <f t="shared" si="1"/>
        <v>CORRECT</v>
      </c>
      <c r="G25" s="39" t="s">
        <v>42</v>
      </c>
      <c r="H25" s="55" t="s">
        <v>42</v>
      </c>
      <c r="I25" s="53" t="s">
        <v>426</v>
      </c>
      <c r="J25" s="55">
        <v>21274.0</v>
      </c>
    </row>
    <row r="26" ht="60.0" customHeight="1">
      <c r="A26" s="39">
        <v>23.0</v>
      </c>
      <c r="B26" s="40" t="s">
        <v>145</v>
      </c>
      <c r="C26" s="40" t="s">
        <v>146</v>
      </c>
      <c r="D26" s="40" t="s">
        <v>147</v>
      </c>
      <c r="E26" s="40" t="s">
        <v>148</v>
      </c>
      <c r="F26" s="39" t="str">
        <f t="shared" si="1"/>
        <v>CORRECT</v>
      </c>
      <c r="G26" s="39" t="s">
        <v>48</v>
      </c>
      <c r="H26" s="55" t="s">
        <v>48</v>
      </c>
      <c r="I26" s="53" t="s">
        <v>427</v>
      </c>
      <c r="J26" s="55">
        <v>29605.0</v>
      </c>
    </row>
    <row r="27" ht="60.0" customHeight="1">
      <c r="A27" s="39">
        <v>24.0</v>
      </c>
      <c r="B27" s="40" t="s">
        <v>150</v>
      </c>
      <c r="C27" s="40" t="s">
        <v>151</v>
      </c>
      <c r="D27" s="40" t="s">
        <v>152</v>
      </c>
      <c r="E27" s="40" t="s">
        <v>153</v>
      </c>
      <c r="F27" s="39" t="str">
        <f t="shared" si="1"/>
        <v>CORRECT</v>
      </c>
      <c r="G27" s="39" t="s">
        <v>36</v>
      </c>
      <c r="H27" s="55" t="s">
        <v>36</v>
      </c>
      <c r="I27" s="53" t="s">
        <v>428</v>
      </c>
      <c r="J27" s="55">
        <v>22723.0</v>
      </c>
    </row>
    <row r="28" ht="60.0" customHeight="1">
      <c r="A28" s="39">
        <v>25.0</v>
      </c>
      <c r="B28" s="40" t="s">
        <v>155</v>
      </c>
      <c r="C28" s="40" t="s">
        <v>151</v>
      </c>
      <c r="D28" s="40" t="s">
        <v>156</v>
      </c>
      <c r="E28" s="40" t="s">
        <v>153</v>
      </c>
      <c r="F28" s="39" t="str">
        <f t="shared" si="1"/>
        <v>CORRECT</v>
      </c>
      <c r="G28" s="39" t="s">
        <v>48</v>
      </c>
      <c r="H28" s="54" t="s">
        <v>48</v>
      </c>
      <c r="I28" s="53" t="s">
        <v>429</v>
      </c>
      <c r="J28" s="55">
        <v>17814.0</v>
      </c>
    </row>
    <row r="29" ht="60.0" customHeight="1">
      <c r="A29" s="39">
        <v>26.0</v>
      </c>
      <c r="B29" s="40" t="s">
        <v>158</v>
      </c>
      <c r="C29" s="40" t="s">
        <v>159</v>
      </c>
      <c r="D29" s="40" t="s">
        <v>160</v>
      </c>
      <c r="E29" s="40" t="s">
        <v>161</v>
      </c>
      <c r="F29" s="39" t="str">
        <f t="shared" si="1"/>
        <v>WRONG</v>
      </c>
      <c r="G29" s="39" t="s">
        <v>36</v>
      </c>
      <c r="H29" s="54" t="s">
        <v>48</v>
      </c>
      <c r="I29" s="53" t="s">
        <v>430</v>
      </c>
      <c r="J29" s="55">
        <v>23421.0</v>
      </c>
    </row>
    <row r="30" ht="60.0" customHeight="1">
      <c r="A30" s="39">
        <v>27.0</v>
      </c>
      <c r="B30" s="40" t="s">
        <v>163</v>
      </c>
      <c r="C30" s="40" t="s">
        <v>164</v>
      </c>
      <c r="D30" s="40" t="s">
        <v>165</v>
      </c>
      <c r="E30" s="40" t="s">
        <v>166</v>
      </c>
      <c r="F30" s="39" t="str">
        <f t="shared" si="1"/>
        <v>CORRECT</v>
      </c>
      <c r="G30" s="39" t="s">
        <v>42</v>
      </c>
      <c r="H30" s="54" t="s">
        <v>42</v>
      </c>
      <c r="I30" s="53" t="s">
        <v>431</v>
      </c>
      <c r="J30" s="55">
        <v>22936.0</v>
      </c>
    </row>
    <row r="31" ht="60.0" customHeight="1">
      <c r="A31" s="39">
        <v>28.0</v>
      </c>
      <c r="B31" s="40" t="s">
        <v>168</v>
      </c>
      <c r="C31" s="40" t="s">
        <v>169</v>
      </c>
      <c r="D31" s="40" t="s">
        <v>170</v>
      </c>
      <c r="E31" s="40" t="s">
        <v>171</v>
      </c>
      <c r="F31" s="39" t="str">
        <f t="shared" si="1"/>
        <v>WRONG</v>
      </c>
      <c r="G31" s="39" t="s">
        <v>36</v>
      </c>
      <c r="H31" s="55" t="s">
        <v>48</v>
      </c>
      <c r="I31" s="53" t="s">
        <v>432</v>
      </c>
      <c r="J31" s="55">
        <v>23879.0</v>
      </c>
    </row>
    <row r="32" ht="60.0" customHeight="1">
      <c r="A32" s="39">
        <v>29.0</v>
      </c>
      <c r="B32" s="40" t="s">
        <v>173</v>
      </c>
      <c r="C32" s="40" t="s">
        <v>174</v>
      </c>
      <c r="D32" s="40" t="s">
        <v>175</v>
      </c>
      <c r="E32" s="40" t="s">
        <v>176</v>
      </c>
      <c r="F32" s="39" t="str">
        <f t="shared" si="1"/>
        <v>CORRECT</v>
      </c>
      <c r="G32" s="39" t="s">
        <v>42</v>
      </c>
      <c r="H32" s="55" t="s">
        <v>42</v>
      </c>
      <c r="I32" s="53" t="s">
        <v>433</v>
      </c>
      <c r="J32" s="55">
        <v>26621.0</v>
      </c>
    </row>
    <row r="33" ht="60.0" customHeight="1">
      <c r="A33" s="39">
        <v>30.0</v>
      </c>
      <c r="B33" s="40" t="s">
        <v>178</v>
      </c>
      <c r="C33" s="40" t="s">
        <v>179</v>
      </c>
      <c r="D33" s="40" t="s">
        <v>180</v>
      </c>
      <c r="E33" s="40" t="s">
        <v>181</v>
      </c>
      <c r="F33" s="39" t="str">
        <f t="shared" si="1"/>
        <v>WRONG</v>
      </c>
      <c r="G33" s="39" t="s">
        <v>48</v>
      </c>
      <c r="H33" s="55" t="s">
        <v>36</v>
      </c>
      <c r="I33" s="53" t="s">
        <v>434</v>
      </c>
      <c r="J33" s="55">
        <v>32122.0</v>
      </c>
    </row>
    <row r="34" ht="60.0" customHeight="1">
      <c r="A34" s="39">
        <v>31.0</v>
      </c>
      <c r="B34" s="40" t="s">
        <v>183</v>
      </c>
      <c r="C34" s="40" t="s">
        <v>184</v>
      </c>
      <c r="D34" s="40" t="s">
        <v>185</v>
      </c>
      <c r="E34" s="40" t="s">
        <v>186</v>
      </c>
      <c r="F34" s="39" t="str">
        <f t="shared" si="1"/>
        <v>WRONG</v>
      </c>
      <c r="G34" s="39" t="s">
        <v>42</v>
      </c>
      <c r="H34" s="55" t="s">
        <v>36</v>
      </c>
      <c r="I34" s="53" t="s">
        <v>435</v>
      </c>
      <c r="J34" s="55">
        <v>27756.0</v>
      </c>
    </row>
    <row r="35" ht="60.0" customHeight="1">
      <c r="A35" s="39">
        <v>32.0</v>
      </c>
      <c r="B35" s="40" t="s">
        <v>188</v>
      </c>
      <c r="C35" s="40" t="s">
        <v>189</v>
      </c>
      <c r="D35" s="40" t="s">
        <v>190</v>
      </c>
      <c r="E35" s="40" t="s">
        <v>191</v>
      </c>
      <c r="F35" s="39" t="str">
        <f t="shared" si="1"/>
        <v>CORRECT</v>
      </c>
      <c r="G35" s="39" t="s">
        <v>36</v>
      </c>
      <c r="H35" s="54" t="s">
        <v>36</v>
      </c>
      <c r="I35" s="53" t="s">
        <v>436</v>
      </c>
      <c r="J35" s="55">
        <v>43042.0</v>
      </c>
    </row>
    <row r="36" ht="60.0" customHeight="1">
      <c r="A36" s="39">
        <v>33.0</v>
      </c>
      <c r="B36" s="40" t="s">
        <v>193</v>
      </c>
      <c r="C36" s="40" t="s">
        <v>194</v>
      </c>
      <c r="D36" s="40" t="s">
        <v>195</v>
      </c>
      <c r="E36" s="40" t="s">
        <v>196</v>
      </c>
      <c r="F36" s="39" t="str">
        <f t="shared" si="1"/>
        <v>WRONG</v>
      </c>
      <c r="G36" s="39" t="s">
        <v>48</v>
      </c>
      <c r="H36" s="54" t="s">
        <v>42</v>
      </c>
      <c r="I36" s="53" t="s">
        <v>437</v>
      </c>
      <c r="J36" s="55">
        <v>24073.0</v>
      </c>
    </row>
    <row r="37" ht="60.0" customHeight="1">
      <c r="A37" s="39">
        <v>34.0</v>
      </c>
      <c r="B37" s="40" t="s">
        <v>198</v>
      </c>
      <c r="C37" s="40" t="s">
        <v>199</v>
      </c>
      <c r="D37" s="40" t="s">
        <v>200</v>
      </c>
      <c r="E37" s="40" t="s">
        <v>201</v>
      </c>
      <c r="F37" s="39" t="str">
        <f t="shared" si="1"/>
        <v>CORRECT</v>
      </c>
      <c r="G37" s="39" t="s">
        <v>36</v>
      </c>
      <c r="H37" s="55" t="s">
        <v>36</v>
      </c>
      <c r="I37" s="53" t="s">
        <v>438</v>
      </c>
      <c r="J37" s="55">
        <v>23298.0</v>
      </c>
    </row>
    <row r="38" ht="60.0" customHeight="1">
      <c r="A38" s="39">
        <v>35.0</v>
      </c>
      <c r="B38" s="40" t="s">
        <v>203</v>
      </c>
      <c r="C38" s="40" t="s">
        <v>204</v>
      </c>
      <c r="D38" s="40" t="s">
        <v>205</v>
      </c>
      <c r="E38" s="40" t="s">
        <v>206</v>
      </c>
      <c r="F38" s="39" t="str">
        <f t="shared" si="1"/>
        <v>WRONG</v>
      </c>
      <c r="G38" s="39" t="s">
        <v>48</v>
      </c>
      <c r="H38" s="55" t="s">
        <v>36</v>
      </c>
      <c r="I38" s="53" t="s">
        <v>439</v>
      </c>
      <c r="J38" s="55">
        <v>24236.0</v>
      </c>
    </row>
    <row r="39" ht="60.0" customHeight="1">
      <c r="A39" s="39">
        <v>36.0</v>
      </c>
      <c r="B39" s="40" t="s">
        <v>208</v>
      </c>
      <c r="C39" s="40" t="s">
        <v>209</v>
      </c>
      <c r="D39" s="40" t="s">
        <v>210</v>
      </c>
      <c r="E39" s="40" t="s">
        <v>211</v>
      </c>
      <c r="F39" s="39" t="str">
        <f t="shared" si="1"/>
        <v>CORRECT</v>
      </c>
      <c r="G39" s="39" t="s">
        <v>36</v>
      </c>
      <c r="H39" s="55" t="s">
        <v>36</v>
      </c>
      <c r="I39" s="53" t="s">
        <v>440</v>
      </c>
      <c r="J39" s="55">
        <v>36106.0</v>
      </c>
    </row>
    <row r="40" ht="60.0" customHeight="1">
      <c r="A40" s="39">
        <v>37.0</v>
      </c>
      <c r="B40" s="40" t="s">
        <v>213</v>
      </c>
      <c r="C40" s="40" t="s">
        <v>214</v>
      </c>
      <c r="D40" s="40" t="s">
        <v>215</v>
      </c>
      <c r="E40" s="40" t="s">
        <v>216</v>
      </c>
      <c r="F40" s="39" t="str">
        <f t="shared" si="1"/>
        <v>WRONG</v>
      </c>
      <c r="G40" s="39" t="s">
        <v>36</v>
      </c>
      <c r="H40" s="55" t="s">
        <v>42</v>
      </c>
      <c r="I40" s="53" t="s">
        <v>441</v>
      </c>
      <c r="J40" s="55">
        <v>22534.0</v>
      </c>
    </row>
    <row r="41" ht="60.0" customHeight="1">
      <c r="A41" s="39">
        <v>38.0</v>
      </c>
      <c r="B41" s="40" t="s">
        <v>218</v>
      </c>
      <c r="C41" s="40" t="s">
        <v>219</v>
      </c>
      <c r="D41" s="40" t="s">
        <v>220</v>
      </c>
      <c r="E41" s="40" t="s">
        <v>221</v>
      </c>
      <c r="F41" s="39" t="str">
        <f t="shared" si="1"/>
        <v>CORRECT</v>
      </c>
      <c r="G41" s="39" t="s">
        <v>36</v>
      </c>
      <c r="H41" s="55" t="s">
        <v>36</v>
      </c>
      <c r="I41" s="53" t="s">
        <v>442</v>
      </c>
      <c r="J41" s="55">
        <v>23050.0</v>
      </c>
    </row>
    <row r="42" ht="60.0" customHeight="1">
      <c r="A42" s="39">
        <v>39.0</v>
      </c>
      <c r="B42" s="40" t="s">
        <v>223</v>
      </c>
      <c r="C42" s="40" t="s">
        <v>224</v>
      </c>
      <c r="D42" s="40" t="s">
        <v>225</v>
      </c>
      <c r="E42" s="40" t="s">
        <v>226</v>
      </c>
      <c r="F42" s="39" t="str">
        <f t="shared" si="1"/>
        <v>WRONG</v>
      </c>
      <c r="G42" s="39" t="s">
        <v>42</v>
      </c>
      <c r="H42" s="55" t="s">
        <v>48</v>
      </c>
      <c r="I42" s="53" t="s">
        <v>443</v>
      </c>
      <c r="J42" s="55">
        <v>21032.0</v>
      </c>
    </row>
    <row r="43" ht="60.0" customHeight="1">
      <c r="A43" s="39">
        <v>40.0</v>
      </c>
      <c r="B43" s="40" t="s">
        <v>228</v>
      </c>
      <c r="C43" s="40" t="s">
        <v>229</v>
      </c>
      <c r="D43" s="40" t="s">
        <v>230</v>
      </c>
      <c r="E43" s="40" t="s">
        <v>231</v>
      </c>
      <c r="F43" s="39" t="str">
        <f t="shared" si="1"/>
        <v>WRONG</v>
      </c>
      <c r="G43" s="39" t="s">
        <v>48</v>
      </c>
      <c r="H43" s="55" t="s">
        <v>42</v>
      </c>
      <c r="I43" s="53" t="s">
        <v>444</v>
      </c>
      <c r="J43" s="55">
        <v>35053.0</v>
      </c>
    </row>
    <row r="44" ht="60.0" customHeight="1">
      <c r="A44" s="39">
        <v>41.0</v>
      </c>
      <c r="B44" s="40" t="s">
        <v>233</v>
      </c>
      <c r="C44" s="40" t="s">
        <v>234</v>
      </c>
      <c r="D44" s="40" t="s">
        <v>235</v>
      </c>
      <c r="E44" s="40" t="s">
        <v>236</v>
      </c>
      <c r="F44" s="39" t="str">
        <f t="shared" si="1"/>
        <v>CORRECT</v>
      </c>
      <c r="G44" s="39" t="s">
        <v>42</v>
      </c>
      <c r="H44" s="55" t="s">
        <v>42</v>
      </c>
      <c r="I44" s="53" t="s">
        <v>445</v>
      </c>
      <c r="J44" s="55">
        <v>12946.0</v>
      </c>
    </row>
    <row r="45" ht="60.0" customHeight="1">
      <c r="A45" s="39">
        <v>42.0</v>
      </c>
      <c r="B45" s="40" t="s">
        <v>238</v>
      </c>
      <c r="C45" s="40" t="s">
        <v>239</v>
      </c>
      <c r="D45" s="40" t="s">
        <v>240</v>
      </c>
      <c r="E45" s="40" t="s">
        <v>241</v>
      </c>
      <c r="F45" s="39" t="str">
        <f t="shared" si="1"/>
        <v>WRONG</v>
      </c>
      <c r="G45" s="39" t="s">
        <v>36</v>
      </c>
      <c r="H45" s="55" t="s">
        <v>42</v>
      </c>
      <c r="I45" s="53" t="s">
        <v>446</v>
      </c>
      <c r="J45" s="55">
        <v>38044.0</v>
      </c>
    </row>
    <row r="46" ht="60.0" customHeight="1">
      <c r="A46" s="39">
        <v>43.0</v>
      </c>
      <c r="B46" s="40" t="s">
        <v>243</v>
      </c>
      <c r="C46" s="40" t="s">
        <v>244</v>
      </c>
      <c r="D46" s="40" t="s">
        <v>245</v>
      </c>
      <c r="E46" s="40" t="s">
        <v>246</v>
      </c>
      <c r="F46" s="39" t="str">
        <f t="shared" si="1"/>
        <v>WRONG</v>
      </c>
      <c r="G46" s="39" t="s">
        <v>48</v>
      </c>
      <c r="H46" s="54" t="s">
        <v>36</v>
      </c>
      <c r="I46" s="53" t="s">
        <v>447</v>
      </c>
      <c r="J46" s="55">
        <v>19194.0</v>
      </c>
    </row>
    <row r="47" ht="60.0" customHeight="1">
      <c r="A47" s="39">
        <v>44.0</v>
      </c>
      <c r="B47" s="40" t="s">
        <v>248</v>
      </c>
      <c r="C47" s="40" t="s">
        <v>249</v>
      </c>
      <c r="D47" s="40" t="s">
        <v>250</v>
      </c>
      <c r="E47" s="40" t="s">
        <v>251</v>
      </c>
      <c r="F47" s="39" t="str">
        <f t="shared" si="1"/>
        <v>WRONG</v>
      </c>
      <c r="G47" s="39" t="s">
        <v>36</v>
      </c>
      <c r="H47" s="54" t="s">
        <v>48</v>
      </c>
      <c r="I47" s="53" t="s">
        <v>448</v>
      </c>
      <c r="J47" s="55">
        <v>23681.0</v>
      </c>
    </row>
    <row r="48" ht="60.0" customHeight="1">
      <c r="A48" s="39">
        <v>45.0</v>
      </c>
      <c r="B48" s="40" t="s">
        <v>253</v>
      </c>
      <c r="C48" s="40" t="s">
        <v>254</v>
      </c>
      <c r="D48" s="40" t="s">
        <v>255</v>
      </c>
      <c r="E48" s="40" t="s">
        <v>256</v>
      </c>
      <c r="F48" s="39" t="str">
        <f t="shared" si="1"/>
        <v>CORRECT</v>
      </c>
      <c r="G48" s="39" t="s">
        <v>36</v>
      </c>
      <c r="H48" s="55" t="s">
        <v>36</v>
      </c>
      <c r="I48" s="53" t="s">
        <v>449</v>
      </c>
      <c r="J48" s="55">
        <v>34740.0</v>
      </c>
    </row>
    <row r="49" ht="60.0" customHeight="1">
      <c r="A49" s="39">
        <v>46.0</v>
      </c>
      <c r="B49" s="40" t="s">
        <v>258</v>
      </c>
      <c r="C49" s="40" t="s">
        <v>39</v>
      </c>
      <c r="D49" s="40" t="s">
        <v>259</v>
      </c>
      <c r="E49" s="40" t="s">
        <v>260</v>
      </c>
      <c r="F49" s="39" t="str">
        <f t="shared" si="1"/>
        <v>CORRECT</v>
      </c>
      <c r="G49" s="39" t="s">
        <v>36</v>
      </c>
      <c r="H49" s="55" t="s">
        <v>36</v>
      </c>
      <c r="I49" s="53" t="s">
        <v>450</v>
      </c>
      <c r="J49" s="55">
        <v>23278.0</v>
      </c>
    </row>
    <row r="50">
      <c r="A50" s="44" t="s">
        <v>262</v>
      </c>
      <c r="B50" s="2"/>
      <c r="C50" s="2"/>
      <c r="D50" s="2"/>
      <c r="E50" s="3"/>
      <c r="F50" s="45">
        <f>COUNTIFS(F4:F49,"CORRECT")</f>
        <v>26</v>
      </c>
      <c r="G50" s="46"/>
      <c r="H50" s="46"/>
      <c r="J50" s="47">
        <f>AVERAGE(J4:J49)</f>
        <v>26865.45652</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451</v>
      </c>
      <c r="C2" s="2"/>
      <c r="D2" s="2"/>
      <c r="E2" s="2"/>
      <c r="F2" s="2"/>
      <c r="G2" s="2"/>
      <c r="H2" s="3"/>
      <c r="I2" s="37" t="s">
        <v>452</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6" t="s">
        <v>453</v>
      </c>
      <c r="J4" s="55">
        <v>33030.0</v>
      </c>
    </row>
    <row r="5" ht="60.0" customHeight="1">
      <c r="A5" s="39">
        <v>2.0</v>
      </c>
      <c r="B5" s="40" t="s">
        <v>38</v>
      </c>
      <c r="C5" s="40" t="s">
        <v>39</v>
      </c>
      <c r="D5" s="40" t="s">
        <v>40</v>
      </c>
      <c r="E5" s="40" t="s">
        <v>41</v>
      </c>
      <c r="F5" s="39" t="str">
        <f t="shared" si="1"/>
        <v>WRONG</v>
      </c>
      <c r="G5" s="39" t="s">
        <v>42</v>
      </c>
      <c r="H5" s="54" t="s">
        <v>36</v>
      </c>
      <c r="I5" s="53" t="s">
        <v>454</v>
      </c>
      <c r="J5" s="55">
        <v>31803.0</v>
      </c>
    </row>
    <row r="6" ht="60.0" customHeight="1">
      <c r="A6" s="39">
        <v>3.0</v>
      </c>
      <c r="B6" s="40" t="s">
        <v>44</v>
      </c>
      <c r="C6" s="40" t="s">
        <v>45</v>
      </c>
      <c r="D6" s="40" t="s">
        <v>46</v>
      </c>
      <c r="E6" s="40" t="s">
        <v>47</v>
      </c>
      <c r="F6" s="39" t="str">
        <f t="shared" si="1"/>
        <v>WRONG</v>
      </c>
      <c r="G6" s="39" t="s">
        <v>48</v>
      </c>
      <c r="H6" s="55" t="s">
        <v>36</v>
      </c>
      <c r="I6" s="53" t="s">
        <v>455</v>
      </c>
      <c r="J6" s="55">
        <v>24009.0</v>
      </c>
    </row>
    <row r="7" ht="60.0" customHeight="1">
      <c r="A7" s="39">
        <v>4.0</v>
      </c>
      <c r="B7" s="40" t="s">
        <v>50</v>
      </c>
      <c r="C7" s="40" t="s">
        <v>51</v>
      </c>
      <c r="D7" s="40" t="s">
        <v>52</v>
      </c>
      <c r="E7" s="40" t="s">
        <v>53</v>
      </c>
      <c r="F7" s="39" t="str">
        <f t="shared" si="1"/>
        <v>CORRECT</v>
      </c>
      <c r="G7" s="39" t="s">
        <v>42</v>
      </c>
      <c r="H7" s="54" t="s">
        <v>42</v>
      </c>
      <c r="I7" s="53" t="s">
        <v>456</v>
      </c>
      <c r="J7" s="55">
        <v>21447.0</v>
      </c>
    </row>
    <row r="8" ht="60.0" customHeight="1">
      <c r="A8" s="39">
        <v>5.0</v>
      </c>
      <c r="B8" s="40" t="s">
        <v>55</v>
      </c>
      <c r="C8" s="40" t="s">
        <v>56</v>
      </c>
      <c r="D8" s="40" t="s">
        <v>57</v>
      </c>
      <c r="E8" s="40" t="s">
        <v>58</v>
      </c>
      <c r="F8" s="39" t="str">
        <f t="shared" si="1"/>
        <v>WRONG</v>
      </c>
      <c r="G8" s="39" t="s">
        <v>48</v>
      </c>
      <c r="H8" s="54" t="s">
        <v>36</v>
      </c>
      <c r="I8" s="53" t="s">
        <v>457</v>
      </c>
      <c r="J8" s="55">
        <v>50142.0</v>
      </c>
    </row>
    <row r="9" ht="60.0" customHeight="1">
      <c r="A9" s="39">
        <v>6.0</v>
      </c>
      <c r="B9" s="40" t="s">
        <v>60</v>
      </c>
      <c r="C9" s="40" t="s">
        <v>61</v>
      </c>
      <c r="D9" s="40" t="s">
        <v>62</v>
      </c>
      <c r="E9" s="40" t="s">
        <v>63</v>
      </c>
      <c r="F9" s="39" t="str">
        <f t="shared" si="1"/>
        <v>CORRECT</v>
      </c>
      <c r="G9" s="39" t="s">
        <v>42</v>
      </c>
      <c r="H9" s="54" t="s">
        <v>42</v>
      </c>
      <c r="I9" s="53" t="s">
        <v>458</v>
      </c>
      <c r="J9" s="55">
        <v>37440.0</v>
      </c>
    </row>
    <row r="10" ht="60.0" customHeight="1">
      <c r="A10" s="39">
        <v>7.0</v>
      </c>
      <c r="B10" s="40" t="s">
        <v>65</v>
      </c>
      <c r="C10" s="40" t="s">
        <v>66</v>
      </c>
      <c r="D10" s="40" t="s">
        <v>67</v>
      </c>
      <c r="E10" s="40" t="s">
        <v>68</v>
      </c>
      <c r="F10" s="39" t="str">
        <f t="shared" si="1"/>
        <v>WRONG</v>
      </c>
      <c r="G10" s="39" t="s">
        <v>42</v>
      </c>
      <c r="H10" s="55" t="s">
        <v>36</v>
      </c>
      <c r="I10" s="53" t="s">
        <v>412</v>
      </c>
      <c r="J10" s="55">
        <v>26031.0</v>
      </c>
    </row>
    <row r="11" ht="60.0" customHeight="1">
      <c r="A11" s="39">
        <v>8.0</v>
      </c>
      <c r="B11" s="40" t="s">
        <v>70</v>
      </c>
      <c r="C11" s="40" t="s">
        <v>71</v>
      </c>
      <c r="D11" s="40" t="s">
        <v>72</v>
      </c>
      <c r="E11" s="40" t="s">
        <v>73</v>
      </c>
      <c r="F11" s="39" t="str">
        <f t="shared" si="1"/>
        <v>WRONG</v>
      </c>
      <c r="G11" s="39" t="s">
        <v>48</v>
      </c>
      <c r="H11" s="54" t="s">
        <v>42</v>
      </c>
      <c r="I11" s="53" t="s">
        <v>413</v>
      </c>
      <c r="J11" s="55">
        <v>26017.0</v>
      </c>
    </row>
    <row r="12" ht="60.0" customHeight="1">
      <c r="A12" s="39">
        <v>9.0</v>
      </c>
      <c r="B12" s="40" t="s">
        <v>75</v>
      </c>
      <c r="C12" s="40" t="s">
        <v>76</v>
      </c>
      <c r="D12" s="40" t="s">
        <v>77</v>
      </c>
      <c r="E12" s="40" t="s">
        <v>78</v>
      </c>
      <c r="F12" s="39" t="str">
        <f t="shared" si="1"/>
        <v>WRONG</v>
      </c>
      <c r="G12" s="39" t="s">
        <v>42</v>
      </c>
      <c r="H12" s="54" t="s">
        <v>48</v>
      </c>
      <c r="I12" s="53" t="s">
        <v>414</v>
      </c>
      <c r="J12" s="55">
        <v>24557.0</v>
      </c>
    </row>
    <row r="13" ht="60.0" customHeight="1">
      <c r="A13" s="39">
        <v>10.0</v>
      </c>
      <c r="B13" s="40" t="s">
        <v>80</v>
      </c>
      <c r="C13" s="40" t="s">
        <v>81</v>
      </c>
      <c r="D13" s="40" t="s">
        <v>82</v>
      </c>
      <c r="E13" s="40" t="s">
        <v>83</v>
      </c>
      <c r="F13" s="39" t="str">
        <f t="shared" si="1"/>
        <v>CORRECT</v>
      </c>
      <c r="G13" s="39" t="s">
        <v>48</v>
      </c>
      <c r="H13" s="54" t="s">
        <v>48</v>
      </c>
      <c r="I13" s="53" t="s">
        <v>415</v>
      </c>
      <c r="J13" s="55">
        <v>45533.0</v>
      </c>
    </row>
    <row r="14" ht="60.0" customHeight="1">
      <c r="A14" s="39">
        <v>11.0</v>
      </c>
      <c r="B14" s="40" t="s">
        <v>85</v>
      </c>
      <c r="C14" s="40" t="s">
        <v>86</v>
      </c>
      <c r="D14" s="40" t="s">
        <v>87</v>
      </c>
      <c r="E14" s="40" t="s">
        <v>88</v>
      </c>
      <c r="F14" s="39" t="str">
        <f t="shared" si="1"/>
        <v>CORRECT</v>
      </c>
      <c r="G14" s="39" t="s">
        <v>42</v>
      </c>
      <c r="H14" s="54" t="s">
        <v>42</v>
      </c>
      <c r="I14" s="53" t="s">
        <v>416</v>
      </c>
      <c r="J14" s="55">
        <v>28558.0</v>
      </c>
    </row>
    <row r="15" ht="60.0" customHeight="1">
      <c r="A15" s="39">
        <v>12.0</v>
      </c>
      <c r="B15" s="40" t="s">
        <v>90</v>
      </c>
      <c r="C15" s="40" t="s">
        <v>91</v>
      </c>
      <c r="D15" s="40" t="s">
        <v>92</v>
      </c>
      <c r="E15" s="40" t="s">
        <v>93</v>
      </c>
      <c r="F15" s="39" t="str">
        <f t="shared" si="1"/>
        <v>CORRECT</v>
      </c>
      <c r="G15" s="39" t="s">
        <v>48</v>
      </c>
      <c r="H15" s="54" t="s">
        <v>48</v>
      </c>
      <c r="I15" s="53" t="s">
        <v>417</v>
      </c>
      <c r="J15" s="55">
        <v>36296.0</v>
      </c>
    </row>
    <row r="16" ht="60.0" customHeight="1">
      <c r="A16" s="39">
        <v>13.0</v>
      </c>
      <c r="B16" s="40" t="s">
        <v>95</v>
      </c>
      <c r="C16" s="40" t="s">
        <v>96</v>
      </c>
      <c r="D16" s="40" t="s">
        <v>97</v>
      </c>
      <c r="E16" s="40" t="s">
        <v>98</v>
      </c>
      <c r="F16" s="39" t="str">
        <f t="shared" si="1"/>
        <v>CORRECT</v>
      </c>
      <c r="G16" s="39" t="s">
        <v>36</v>
      </c>
      <c r="H16" s="54" t="s">
        <v>36</v>
      </c>
      <c r="I16" s="53" t="s">
        <v>418</v>
      </c>
      <c r="J16" s="55">
        <v>28135.0</v>
      </c>
    </row>
    <row r="17" ht="60.0" customHeight="1">
      <c r="A17" s="39">
        <v>14.0</v>
      </c>
      <c r="B17" s="40" t="s">
        <v>100</v>
      </c>
      <c r="C17" s="40" t="s">
        <v>101</v>
      </c>
      <c r="D17" s="40" t="s">
        <v>102</v>
      </c>
      <c r="E17" s="40" t="s">
        <v>103</v>
      </c>
      <c r="F17" s="39" t="str">
        <f t="shared" si="1"/>
        <v>WRONG</v>
      </c>
      <c r="G17" s="39" t="s">
        <v>36</v>
      </c>
      <c r="H17" s="54" t="s">
        <v>48</v>
      </c>
      <c r="I17" s="56" t="s">
        <v>419</v>
      </c>
      <c r="J17" s="55">
        <v>30333.0</v>
      </c>
    </row>
    <row r="18" ht="60.0" customHeight="1">
      <c r="A18" s="39">
        <v>15.0</v>
      </c>
      <c r="B18" s="40" t="s">
        <v>105</v>
      </c>
      <c r="C18" s="40" t="s">
        <v>106</v>
      </c>
      <c r="D18" s="40" t="s">
        <v>107</v>
      </c>
      <c r="E18" s="40" t="s">
        <v>108</v>
      </c>
      <c r="F18" s="39" t="str">
        <f t="shared" si="1"/>
        <v>CORRECT</v>
      </c>
      <c r="G18" s="39" t="s">
        <v>48</v>
      </c>
      <c r="H18" s="55" t="s">
        <v>48</v>
      </c>
      <c r="I18" s="53" t="s">
        <v>420</v>
      </c>
      <c r="J18" s="55">
        <v>28823.0</v>
      </c>
    </row>
    <row r="19" ht="60.0" customHeight="1">
      <c r="A19" s="39">
        <v>16.0</v>
      </c>
      <c r="B19" s="40" t="s">
        <v>110</v>
      </c>
      <c r="C19" s="40" t="s">
        <v>111</v>
      </c>
      <c r="D19" s="40" t="s">
        <v>112</v>
      </c>
      <c r="E19" s="40" t="s">
        <v>113</v>
      </c>
      <c r="F19" s="39" t="str">
        <f t="shared" si="1"/>
        <v>CORRECT</v>
      </c>
      <c r="G19" s="39" t="s">
        <v>48</v>
      </c>
      <c r="H19" s="54" t="s">
        <v>48</v>
      </c>
      <c r="I19" s="53" t="s">
        <v>421</v>
      </c>
      <c r="J19" s="55">
        <v>30783.0</v>
      </c>
    </row>
    <row r="20" ht="60.0" customHeight="1">
      <c r="A20" s="39">
        <v>17.0</v>
      </c>
      <c r="B20" s="40" t="s">
        <v>115</v>
      </c>
      <c r="C20" s="40" t="s">
        <v>116</v>
      </c>
      <c r="D20" s="40" t="s">
        <v>117</v>
      </c>
      <c r="E20" s="40" t="s">
        <v>118</v>
      </c>
      <c r="F20" s="39" t="str">
        <f t="shared" si="1"/>
        <v>WRONG</v>
      </c>
      <c r="G20" s="39" t="s">
        <v>42</v>
      </c>
      <c r="H20" s="55" t="s">
        <v>36</v>
      </c>
      <c r="I20" s="53" t="s">
        <v>422</v>
      </c>
      <c r="J20" s="55">
        <v>26386.0</v>
      </c>
    </row>
    <row r="21" ht="60.0" customHeight="1">
      <c r="A21" s="39">
        <v>18.0</v>
      </c>
      <c r="B21" s="40" t="s">
        <v>120</v>
      </c>
      <c r="C21" s="40" t="s">
        <v>121</v>
      </c>
      <c r="D21" s="40" t="s">
        <v>122</v>
      </c>
      <c r="E21" s="40" t="s">
        <v>123</v>
      </c>
      <c r="F21" s="39" t="str">
        <f t="shared" si="1"/>
        <v>CORRECT</v>
      </c>
      <c r="G21" s="39" t="s">
        <v>42</v>
      </c>
      <c r="H21" s="55" t="s">
        <v>42</v>
      </c>
      <c r="I21" s="53" t="s">
        <v>423</v>
      </c>
      <c r="J21" s="55">
        <v>26879.0</v>
      </c>
    </row>
    <row r="22" ht="60.0" customHeight="1">
      <c r="A22" s="39">
        <v>19.0</v>
      </c>
      <c r="B22" s="40" t="s">
        <v>125</v>
      </c>
      <c r="C22" s="40" t="s">
        <v>126</v>
      </c>
      <c r="D22" s="40" t="s">
        <v>127</v>
      </c>
      <c r="E22" s="40" t="s">
        <v>128</v>
      </c>
      <c r="F22" s="39" t="str">
        <f t="shared" si="1"/>
        <v>WRONG</v>
      </c>
      <c r="G22" s="39" t="s">
        <v>36</v>
      </c>
      <c r="H22" s="54" t="s">
        <v>48</v>
      </c>
      <c r="I22" s="53" t="s">
        <v>424</v>
      </c>
      <c r="J22" s="55">
        <v>29541.0</v>
      </c>
    </row>
    <row r="23" ht="60.0" customHeight="1">
      <c r="A23" s="39">
        <v>20.0</v>
      </c>
      <c r="B23" s="40" t="s">
        <v>130</v>
      </c>
      <c r="C23" s="40" t="s">
        <v>131</v>
      </c>
      <c r="D23" s="40" t="s">
        <v>132</v>
      </c>
      <c r="E23" s="40" t="s">
        <v>133</v>
      </c>
      <c r="F23" s="39" t="str">
        <f t="shared" si="1"/>
        <v>WRONG</v>
      </c>
      <c r="G23" s="39" t="s">
        <v>42</v>
      </c>
      <c r="H23" s="54" t="s">
        <v>48</v>
      </c>
      <c r="I23" s="53" t="s">
        <v>328</v>
      </c>
      <c r="J23" s="55">
        <v>13340.0</v>
      </c>
    </row>
    <row r="24" ht="60.0" customHeight="1">
      <c r="A24" s="39">
        <v>21.0</v>
      </c>
      <c r="B24" s="40" t="s">
        <v>135</v>
      </c>
      <c r="C24" s="40" t="s">
        <v>136</v>
      </c>
      <c r="D24" s="40" t="s">
        <v>137</v>
      </c>
      <c r="E24" s="40" t="s">
        <v>138</v>
      </c>
      <c r="F24" s="39" t="str">
        <f t="shared" si="1"/>
        <v>WRONG</v>
      </c>
      <c r="G24" s="39" t="s">
        <v>42</v>
      </c>
      <c r="H24" s="54" t="s">
        <v>36</v>
      </c>
      <c r="I24" s="53" t="s">
        <v>425</v>
      </c>
      <c r="J24" s="55">
        <v>23725.0</v>
      </c>
    </row>
    <row r="25" ht="60.0" customHeight="1">
      <c r="A25" s="39">
        <v>22.0</v>
      </c>
      <c r="B25" s="40" t="s">
        <v>140</v>
      </c>
      <c r="C25" s="40" t="s">
        <v>141</v>
      </c>
      <c r="D25" s="40" t="s">
        <v>142</v>
      </c>
      <c r="E25" s="40" t="s">
        <v>143</v>
      </c>
      <c r="F25" s="39" t="str">
        <f t="shared" si="1"/>
        <v>CORRECT</v>
      </c>
      <c r="G25" s="39" t="s">
        <v>42</v>
      </c>
      <c r="H25" s="54" t="s">
        <v>42</v>
      </c>
      <c r="I25" s="53" t="s">
        <v>426</v>
      </c>
      <c r="J25" s="55">
        <v>21274.0</v>
      </c>
    </row>
    <row r="26" ht="60.0" customHeight="1">
      <c r="A26" s="39">
        <v>23.0</v>
      </c>
      <c r="B26" s="40" t="s">
        <v>145</v>
      </c>
      <c r="C26" s="40" t="s">
        <v>146</v>
      </c>
      <c r="D26" s="40" t="s">
        <v>147</v>
      </c>
      <c r="E26" s="40" t="s">
        <v>148</v>
      </c>
      <c r="F26" s="39" t="str">
        <f t="shared" si="1"/>
        <v>CORRECT</v>
      </c>
      <c r="G26" s="39" t="s">
        <v>48</v>
      </c>
      <c r="H26" s="55" t="s">
        <v>48</v>
      </c>
      <c r="I26" s="53" t="s">
        <v>427</v>
      </c>
      <c r="J26" s="55">
        <v>29605.0</v>
      </c>
    </row>
    <row r="27" ht="60.0" customHeight="1">
      <c r="A27" s="39">
        <v>24.0</v>
      </c>
      <c r="B27" s="40" t="s">
        <v>150</v>
      </c>
      <c r="C27" s="40" t="s">
        <v>151</v>
      </c>
      <c r="D27" s="40" t="s">
        <v>152</v>
      </c>
      <c r="E27" s="40" t="s">
        <v>153</v>
      </c>
      <c r="F27" s="39" t="str">
        <f t="shared" si="1"/>
        <v>CORRECT</v>
      </c>
      <c r="G27" s="39" t="s">
        <v>36</v>
      </c>
      <c r="H27" s="54" t="s">
        <v>36</v>
      </c>
      <c r="I27" s="53" t="s">
        <v>428</v>
      </c>
      <c r="J27" s="55">
        <v>22723.0</v>
      </c>
    </row>
    <row r="28" ht="60.0" customHeight="1">
      <c r="A28" s="39">
        <v>25.0</v>
      </c>
      <c r="B28" s="40" t="s">
        <v>155</v>
      </c>
      <c r="C28" s="40" t="s">
        <v>151</v>
      </c>
      <c r="D28" s="40" t="s">
        <v>156</v>
      </c>
      <c r="E28" s="40" t="s">
        <v>153</v>
      </c>
      <c r="F28" s="39" t="str">
        <f t="shared" si="1"/>
        <v>CORRECT</v>
      </c>
      <c r="G28" s="39" t="s">
        <v>48</v>
      </c>
      <c r="H28" s="54" t="s">
        <v>48</v>
      </c>
      <c r="I28" s="53" t="s">
        <v>429</v>
      </c>
      <c r="J28" s="55">
        <v>17814.0</v>
      </c>
    </row>
    <row r="29" ht="60.0" customHeight="1">
      <c r="A29" s="39">
        <v>26.0</v>
      </c>
      <c r="B29" s="40" t="s">
        <v>158</v>
      </c>
      <c r="C29" s="40" t="s">
        <v>159</v>
      </c>
      <c r="D29" s="40" t="s">
        <v>160</v>
      </c>
      <c r="E29" s="40" t="s">
        <v>161</v>
      </c>
      <c r="F29" s="39" t="str">
        <f t="shared" si="1"/>
        <v>WRONG</v>
      </c>
      <c r="G29" s="39" t="s">
        <v>36</v>
      </c>
      <c r="H29" s="54" t="s">
        <v>48</v>
      </c>
      <c r="I29" s="53" t="s">
        <v>430</v>
      </c>
      <c r="J29" s="55">
        <v>23421.0</v>
      </c>
    </row>
    <row r="30" ht="60.0" customHeight="1">
      <c r="A30" s="39">
        <v>27.0</v>
      </c>
      <c r="B30" s="40" t="s">
        <v>163</v>
      </c>
      <c r="C30" s="40" t="s">
        <v>164</v>
      </c>
      <c r="D30" s="40" t="s">
        <v>165</v>
      </c>
      <c r="E30" s="40" t="s">
        <v>166</v>
      </c>
      <c r="F30" s="39" t="str">
        <f t="shared" si="1"/>
        <v>CORRECT</v>
      </c>
      <c r="G30" s="39" t="s">
        <v>42</v>
      </c>
      <c r="H30" s="54" t="s">
        <v>42</v>
      </c>
      <c r="I30" s="53" t="s">
        <v>431</v>
      </c>
      <c r="J30" s="55">
        <v>22936.0</v>
      </c>
    </row>
    <row r="31" ht="60.0" customHeight="1">
      <c r="A31" s="39">
        <v>28.0</v>
      </c>
      <c r="B31" s="40" t="s">
        <v>168</v>
      </c>
      <c r="C31" s="40" t="s">
        <v>169</v>
      </c>
      <c r="D31" s="40" t="s">
        <v>170</v>
      </c>
      <c r="E31" s="40" t="s">
        <v>171</v>
      </c>
      <c r="F31" s="39" t="str">
        <f t="shared" si="1"/>
        <v>WRONG</v>
      </c>
      <c r="G31" s="39" t="s">
        <v>36</v>
      </c>
      <c r="H31" s="54" t="s">
        <v>48</v>
      </c>
      <c r="I31" s="53" t="s">
        <v>432</v>
      </c>
      <c r="J31" s="55">
        <v>23879.0</v>
      </c>
    </row>
    <row r="32" ht="60.0" customHeight="1">
      <c r="A32" s="39">
        <v>29.0</v>
      </c>
      <c r="B32" s="40" t="s">
        <v>173</v>
      </c>
      <c r="C32" s="40" t="s">
        <v>174</v>
      </c>
      <c r="D32" s="40" t="s">
        <v>175</v>
      </c>
      <c r="E32" s="40" t="s">
        <v>176</v>
      </c>
      <c r="F32" s="39" t="str">
        <f t="shared" si="1"/>
        <v>CORRECT</v>
      </c>
      <c r="G32" s="39" t="s">
        <v>42</v>
      </c>
      <c r="H32" s="54" t="s">
        <v>42</v>
      </c>
      <c r="I32" s="53" t="s">
        <v>433</v>
      </c>
      <c r="J32" s="55">
        <v>26621.0</v>
      </c>
    </row>
    <row r="33" ht="60.0" customHeight="1">
      <c r="A33" s="39">
        <v>30.0</v>
      </c>
      <c r="B33" s="40" t="s">
        <v>178</v>
      </c>
      <c r="C33" s="40" t="s">
        <v>179</v>
      </c>
      <c r="D33" s="40" t="s">
        <v>180</v>
      </c>
      <c r="E33" s="40" t="s">
        <v>181</v>
      </c>
      <c r="F33" s="39" t="str">
        <f t="shared" si="1"/>
        <v>WRONG</v>
      </c>
      <c r="G33" s="39" t="s">
        <v>48</v>
      </c>
      <c r="H33" s="54" t="s">
        <v>36</v>
      </c>
      <c r="I33" s="53" t="s">
        <v>434</v>
      </c>
      <c r="J33" s="55">
        <v>32122.0</v>
      </c>
    </row>
    <row r="34" ht="60.0" customHeight="1">
      <c r="A34" s="39">
        <v>31.0</v>
      </c>
      <c r="B34" s="40" t="s">
        <v>183</v>
      </c>
      <c r="C34" s="40" t="s">
        <v>184</v>
      </c>
      <c r="D34" s="40" t="s">
        <v>185</v>
      </c>
      <c r="E34" s="40" t="s">
        <v>186</v>
      </c>
      <c r="F34" s="39" t="str">
        <f t="shared" si="1"/>
        <v>WRONG</v>
      </c>
      <c r="G34" s="39" t="s">
        <v>42</v>
      </c>
      <c r="H34" s="54" t="s">
        <v>36</v>
      </c>
      <c r="I34" s="53" t="s">
        <v>435</v>
      </c>
      <c r="J34" s="55">
        <v>27756.0</v>
      </c>
    </row>
    <row r="35" ht="60.0" customHeight="1">
      <c r="A35" s="39">
        <v>32.0</v>
      </c>
      <c r="B35" s="40" t="s">
        <v>188</v>
      </c>
      <c r="C35" s="40" t="s">
        <v>189</v>
      </c>
      <c r="D35" s="40" t="s">
        <v>190</v>
      </c>
      <c r="E35" s="40" t="s">
        <v>191</v>
      </c>
      <c r="F35" s="39" t="str">
        <f t="shared" si="1"/>
        <v>CORRECT</v>
      </c>
      <c r="G35" s="39" t="s">
        <v>36</v>
      </c>
      <c r="H35" s="54" t="s">
        <v>36</v>
      </c>
      <c r="I35" s="53" t="s">
        <v>436</v>
      </c>
      <c r="J35" s="55">
        <v>43042.0</v>
      </c>
    </row>
    <row r="36" ht="60.0" customHeight="1">
      <c r="A36" s="39">
        <v>33.0</v>
      </c>
      <c r="B36" s="40" t="s">
        <v>193</v>
      </c>
      <c r="C36" s="40" t="s">
        <v>194</v>
      </c>
      <c r="D36" s="40" t="s">
        <v>195</v>
      </c>
      <c r="E36" s="40" t="s">
        <v>196</v>
      </c>
      <c r="F36" s="39" t="str">
        <f t="shared" si="1"/>
        <v>WRONG</v>
      </c>
      <c r="G36" s="39" t="s">
        <v>48</v>
      </c>
      <c r="H36" s="54" t="s">
        <v>42</v>
      </c>
      <c r="I36" s="53" t="s">
        <v>437</v>
      </c>
      <c r="J36" s="55">
        <v>24073.0</v>
      </c>
    </row>
    <row r="37" ht="60.0" customHeight="1">
      <c r="A37" s="39">
        <v>34.0</v>
      </c>
      <c r="B37" s="40" t="s">
        <v>198</v>
      </c>
      <c r="C37" s="40" t="s">
        <v>199</v>
      </c>
      <c r="D37" s="40" t="s">
        <v>200</v>
      </c>
      <c r="E37" s="40" t="s">
        <v>201</v>
      </c>
      <c r="F37" s="39" t="str">
        <f t="shared" si="1"/>
        <v>CORRECT</v>
      </c>
      <c r="G37" s="39" t="s">
        <v>36</v>
      </c>
      <c r="H37" s="54" t="s">
        <v>36</v>
      </c>
      <c r="I37" s="53" t="s">
        <v>438</v>
      </c>
      <c r="J37" s="55">
        <v>23298.0</v>
      </c>
    </row>
    <row r="38" ht="60.0" customHeight="1">
      <c r="A38" s="39">
        <v>35.0</v>
      </c>
      <c r="B38" s="40" t="s">
        <v>203</v>
      </c>
      <c r="C38" s="40" t="s">
        <v>204</v>
      </c>
      <c r="D38" s="40" t="s">
        <v>205</v>
      </c>
      <c r="E38" s="40" t="s">
        <v>206</v>
      </c>
      <c r="F38" s="39" t="str">
        <f t="shared" si="1"/>
        <v>WRONG</v>
      </c>
      <c r="G38" s="39" t="s">
        <v>48</v>
      </c>
      <c r="H38" s="54" t="s">
        <v>36</v>
      </c>
      <c r="I38" s="53" t="s">
        <v>439</v>
      </c>
      <c r="J38" s="55">
        <v>24236.0</v>
      </c>
    </row>
    <row r="39" ht="60.0" customHeight="1">
      <c r="A39" s="39">
        <v>36.0</v>
      </c>
      <c r="B39" s="40" t="s">
        <v>208</v>
      </c>
      <c r="C39" s="40" t="s">
        <v>209</v>
      </c>
      <c r="D39" s="40" t="s">
        <v>210</v>
      </c>
      <c r="E39" s="40" t="s">
        <v>211</v>
      </c>
      <c r="F39" s="39" t="str">
        <f t="shared" si="1"/>
        <v>CORRECT</v>
      </c>
      <c r="G39" s="39" t="s">
        <v>36</v>
      </c>
      <c r="H39" s="54" t="s">
        <v>36</v>
      </c>
      <c r="I39" s="53" t="s">
        <v>440</v>
      </c>
      <c r="J39" s="55">
        <v>36106.0</v>
      </c>
    </row>
    <row r="40" ht="60.0" customHeight="1">
      <c r="A40" s="39">
        <v>37.0</v>
      </c>
      <c r="B40" s="40" t="s">
        <v>213</v>
      </c>
      <c r="C40" s="40" t="s">
        <v>214</v>
      </c>
      <c r="D40" s="40" t="s">
        <v>215</v>
      </c>
      <c r="E40" s="40" t="s">
        <v>216</v>
      </c>
      <c r="F40" s="39" t="str">
        <f t="shared" si="1"/>
        <v>WRONG</v>
      </c>
      <c r="G40" s="39" t="s">
        <v>36</v>
      </c>
      <c r="H40" s="54" t="s">
        <v>42</v>
      </c>
      <c r="I40" s="53" t="s">
        <v>441</v>
      </c>
      <c r="J40" s="55">
        <v>22534.0</v>
      </c>
    </row>
    <row r="41" ht="60.0" customHeight="1">
      <c r="A41" s="39">
        <v>38.0</v>
      </c>
      <c r="B41" s="40" t="s">
        <v>218</v>
      </c>
      <c r="C41" s="40" t="s">
        <v>219</v>
      </c>
      <c r="D41" s="40" t="s">
        <v>220</v>
      </c>
      <c r="E41" s="40" t="s">
        <v>221</v>
      </c>
      <c r="F41" s="39" t="str">
        <f t="shared" si="1"/>
        <v>CORRECT</v>
      </c>
      <c r="G41" s="39" t="s">
        <v>36</v>
      </c>
      <c r="H41" s="55" t="s">
        <v>36</v>
      </c>
      <c r="I41" s="53" t="s">
        <v>442</v>
      </c>
      <c r="J41" s="55">
        <v>23050.0</v>
      </c>
    </row>
    <row r="42" ht="60.0" customHeight="1">
      <c r="A42" s="39">
        <v>39.0</v>
      </c>
      <c r="B42" s="40" t="s">
        <v>223</v>
      </c>
      <c r="C42" s="40" t="s">
        <v>224</v>
      </c>
      <c r="D42" s="40" t="s">
        <v>225</v>
      </c>
      <c r="E42" s="40" t="s">
        <v>226</v>
      </c>
      <c r="F42" s="39" t="str">
        <f t="shared" si="1"/>
        <v>WRONG</v>
      </c>
      <c r="G42" s="39" t="s">
        <v>42</v>
      </c>
      <c r="H42" s="55" t="s">
        <v>48</v>
      </c>
      <c r="I42" s="53" t="s">
        <v>443</v>
      </c>
      <c r="J42" s="55">
        <v>21032.0</v>
      </c>
    </row>
    <row r="43" ht="60.0" customHeight="1">
      <c r="A43" s="39">
        <v>40.0</v>
      </c>
      <c r="B43" s="40" t="s">
        <v>228</v>
      </c>
      <c r="C43" s="40" t="s">
        <v>229</v>
      </c>
      <c r="D43" s="40" t="s">
        <v>230</v>
      </c>
      <c r="E43" s="40" t="s">
        <v>231</v>
      </c>
      <c r="F43" s="39" t="str">
        <f t="shared" si="1"/>
        <v>WRONG</v>
      </c>
      <c r="G43" s="39" t="s">
        <v>48</v>
      </c>
      <c r="H43" s="55" t="s">
        <v>42</v>
      </c>
      <c r="I43" s="53" t="s">
        <v>444</v>
      </c>
      <c r="J43" s="55">
        <v>35053.0</v>
      </c>
    </row>
    <row r="44" ht="60.0" customHeight="1">
      <c r="A44" s="39">
        <v>41.0</v>
      </c>
      <c r="B44" s="40" t="s">
        <v>233</v>
      </c>
      <c r="C44" s="40" t="s">
        <v>234</v>
      </c>
      <c r="D44" s="40" t="s">
        <v>235</v>
      </c>
      <c r="E44" s="40" t="s">
        <v>236</v>
      </c>
      <c r="F44" s="39" t="str">
        <f t="shared" si="1"/>
        <v>CORRECT</v>
      </c>
      <c r="G44" s="39" t="s">
        <v>42</v>
      </c>
      <c r="H44" s="55" t="s">
        <v>42</v>
      </c>
      <c r="I44" s="53" t="s">
        <v>445</v>
      </c>
      <c r="J44" s="55">
        <v>12946.0</v>
      </c>
    </row>
    <row r="45" ht="60.0" customHeight="1">
      <c r="A45" s="39">
        <v>42.0</v>
      </c>
      <c r="B45" s="40" t="s">
        <v>238</v>
      </c>
      <c r="C45" s="40" t="s">
        <v>239</v>
      </c>
      <c r="D45" s="40" t="s">
        <v>240</v>
      </c>
      <c r="E45" s="40" t="s">
        <v>241</v>
      </c>
      <c r="F45" s="39" t="str">
        <f t="shared" si="1"/>
        <v>WRONG</v>
      </c>
      <c r="G45" s="39" t="s">
        <v>36</v>
      </c>
      <c r="H45" s="54" t="s">
        <v>42</v>
      </c>
      <c r="I45" s="53" t="s">
        <v>446</v>
      </c>
      <c r="J45" s="55">
        <v>38044.0</v>
      </c>
    </row>
    <row r="46" ht="60.0" customHeight="1">
      <c r="A46" s="39">
        <v>43.0</v>
      </c>
      <c r="B46" s="40" t="s">
        <v>243</v>
      </c>
      <c r="C46" s="40" t="s">
        <v>244</v>
      </c>
      <c r="D46" s="40" t="s">
        <v>245</v>
      </c>
      <c r="E46" s="40" t="s">
        <v>246</v>
      </c>
      <c r="F46" s="39" t="str">
        <f t="shared" si="1"/>
        <v>WRONG</v>
      </c>
      <c r="G46" s="39" t="s">
        <v>48</v>
      </c>
      <c r="H46" s="54" t="s">
        <v>36</v>
      </c>
      <c r="I46" s="53" t="s">
        <v>447</v>
      </c>
      <c r="J46" s="55">
        <v>19194.0</v>
      </c>
    </row>
    <row r="47" ht="60.0" customHeight="1">
      <c r="A47" s="39">
        <v>44.0</v>
      </c>
      <c r="B47" s="40" t="s">
        <v>248</v>
      </c>
      <c r="C47" s="40" t="s">
        <v>249</v>
      </c>
      <c r="D47" s="40" t="s">
        <v>250</v>
      </c>
      <c r="E47" s="40" t="s">
        <v>251</v>
      </c>
      <c r="F47" s="39" t="str">
        <f t="shared" si="1"/>
        <v>WRONG</v>
      </c>
      <c r="G47" s="39" t="s">
        <v>36</v>
      </c>
      <c r="H47" s="54" t="s">
        <v>48</v>
      </c>
      <c r="I47" s="53" t="s">
        <v>448</v>
      </c>
      <c r="J47" s="55">
        <v>23681.0</v>
      </c>
    </row>
    <row r="48" ht="60.0" customHeight="1">
      <c r="A48" s="39">
        <v>45.0</v>
      </c>
      <c r="B48" s="40" t="s">
        <v>253</v>
      </c>
      <c r="C48" s="40" t="s">
        <v>254</v>
      </c>
      <c r="D48" s="40" t="s">
        <v>255</v>
      </c>
      <c r="E48" s="40" t="s">
        <v>256</v>
      </c>
      <c r="F48" s="39" t="str">
        <f t="shared" si="1"/>
        <v>CORRECT</v>
      </c>
      <c r="G48" s="39" t="s">
        <v>36</v>
      </c>
      <c r="H48" s="55" t="s">
        <v>36</v>
      </c>
      <c r="I48" s="53" t="s">
        <v>449</v>
      </c>
      <c r="J48" s="55">
        <v>34740.0</v>
      </c>
    </row>
    <row r="49" ht="60.0" customHeight="1">
      <c r="A49" s="39">
        <v>46.0</v>
      </c>
      <c r="B49" s="40" t="s">
        <v>258</v>
      </c>
      <c r="C49" s="40" t="s">
        <v>39</v>
      </c>
      <c r="D49" s="40" t="s">
        <v>259</v>
      </c>
      <c r="E49" s="40" t="s">
        <v>260</v>
      </c>
      <c r="F49" s="39" t="str">
        <f t="shared" si="1"/>
        <v>CORRECT</v>
      </c>
      <c r="G49" s="39" t="s">
        <v>36</v>
      </c>
      <c r="H49" s="54" t="s">
        <v>36</v>
      </c>
      <c r="I49" s="56" t="s">
        <v>450</v>
      </c>
      <c r="J49" s="55">
        <v>23278.0</v>
      </c>
    </row>
    <row r="50">
      <c r="A50" s="44" t="s">
        <v>262</v>
      </c>
      <c r="B50" s="2"/>
      <c r="C50" s="2"/>
      <c r="D50" s="2"/>
      <c r="E50" s="3"/>
      <c r="F50" s="45">
        <f>COUNTIFS(F4:F49,"CORRECT")</f>
        <v>23</v>
      </c>
      <c r="G50" s="46"/>
      <c r="H50" s="46"/>
      <c r="J50" s="47">
        <f>AVERAGE(J4:J49)</f>
        <v>27723.17391</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